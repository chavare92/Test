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290796\Documents\SCO AR\Zodiac\"/>
    </mc:Choice>
  </mc:AlternateContent>
  <xr:revisionPtr revIDLastSave="0" documentId="13_ncr:1_{1EB27856-D0CD-47E4-A307-8DDF57FF432A}" xr6:coauthVersionLast="47" xr6:coauthVersionMax="47" xr10:uidLastSave="{00000000-0000-0000-0000-000000000000}"/>
  <bookViews>
    <workbookView xWindow="28680" yWindow="-120" windowWidth="29040" windowHeight="17520" firstSheet="3" activeTab="3" xr2:uid="{5F6AD098-D486-4148-9615-C2F1018AC74B}"/>
  </bookViews>
  <sheets>
    <sheet name="Summary - Example" sheetId="12" state="hidden" r:id="rId1"/>
    <sheet name=" THC" sheetId="15" state="hidden" r:id="rId2"/>
    <sheet name="BIS" sheetId="18" state="hidden" r:id="rId3"/>
    <sheet name="Summary - Zodiac" sheetId="22" r:id="rId4"/>
    <sheet name="Total T + B" sheetId="20" r:id="rId5"/>
    <sheet name="AP COS Activities " sheetId="8" state="hidden" r:id="rId6"/>
    <sheet name="Dec 25 Volume" sheetId="13" state="hidden" r:id="rId7"/>
    <sheet name="Exception AHT Calculation " sheetId="11" state="hidden" r:id="rId8"/>
  </sheets>
  <definedNames>
    <definedName name="_xlnm._FilterDatabase" localSheetId="1" hidden="1">' THC'!$C$10:$AA$22</definedName>
    <definedName name="_xlnm._FilterDatabase" localSheetId="5" hidden="1">'AP COS Activities '!$C$10:$AC$40</definedName>
    <definedName name="_xlnm._FilterDatabase" localSheetId="2" hidden="1">BIS!$C$10:$AA$21</definedName>
    <definedName name="_xlnm._FilterDatabase" localSheetId="4" hidden="1">'Total T + B'!$A$8:$T$8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0" l="1"/>
  <c r="M26" i="20"/>
  <c r="E4" i="22" l="1"/>
  <c r="E5" i="22"/>
  <c r="E3" i="22"/>
  <c r="C6" i="22"/>
  <c r="D6" i="22"/>
  <c r="C10" i="22" s="1"/>
  <c r="C18" i="22" s="1"/>
  <c r="C13" i="22" l="1"/>
  <c r="C16" i="22" s="1"/>
  <c r="E6" i="22"/>
  <c r="Q26" i="20"/>
  <c r="P26" i="20"/>
  <c r="C17" i="22" l="1"/>
  <c r="C19" i="22"/>
  <c r="G9" i="11"/>
  <c r="G8" i="11"/>
  <c r="G7" i="11"/>
  <c r="F7" i="11"/>
  <c r="G6" i="11"/>
  <c r="F6" i="11"/>
  <c r="G5" i="11"/>
  <c r="F5" i="11"/>
  <c r="G4" i="11"/>
  <c r="F4" i="11"/>
  <c r="F2" i="11"/>
  <c r="E2" i="11"/>
  <c r="D2" i="11"/>
  <c r="G44" i="13"/>
  <c r="D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AC41" i="8"/>
  <c r="V41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I7" i="8"/>
  <c r="H7" i="8"/>
  <c r="G7" i="8"/>
  <c r="O6" i="8"/>
  <c r="N6" i="8"/>
  <c r="I5" i="8"/>
  <c r="H5" i="8"/>
  <c r="G5" i="8"/>
  <c r="H4" i="8"/>
  <c r="G4" i="8"/>
  <c r="Q32" i="20"/>
  <c r="P32" i="20"/>
  <c r="Q31" i="20"/>
  <c r="P31" i="20"/>
  <c r="Q30" i="20"/>
  <c r="P30" i="20"/>
  <c r="Q29" i="20"/>
  <c r="P29" i="20"/>
  <c r="Q28" i="20"/>
  <c r="P28" i="20"/>
  <c r="Q27" i="20"/>
  <c r="P27" i="20"/>
  <c r="Q25" i="20"/>
  <c r="P25" i="20"/>
  <c r="Q24" i="20"/>
  <c r="P24" i="20"/>
  <c r="Q23" i="20"/>
  <c r="P23" i="20"/>
  <c r="Q22" i="20"/>
  <c r="P22" i="20"/>
  <c r="Q20" i="20"/>
  <c r="P20" i="20"/>
  <c r="Q19" i="20"/>
  <c r="P19" i="20"/>
  <c r="Q18" i="20"/>
  <c r="P18" i="20"/>
  <c r="Q17" i="20"/>
  <c r="P17" i="20"/>
  <c r="Q16" i="20"/>
  <c r="P16" i="20"/>
  <c r="Q15" i="20"/>
  <c r="P15" i="20"/>
  <c r="Q14" i="20"/>
  <c r="P14" i="20"/>
  <c r="Q13" i="20"/>
  <c r="P13" i="20"/>
  <c r="Q12" i="20"/>
  <c r="P12" i="20"/>
  <c r="Q11" i="20"/>
  <c r="P11" i="20"/>
  <c r="Q10" i="20"/>
  <c r="P10" i="20"/>
  <c r="I4" i="20"/>
  <c r="H44" i="18"/>
  <c r="G44" i="18"/>
  <c r="H43" i="18"/>
  <c r="H42" i="18"/>
  <c r="H41" i="18"/>
  <c r="H40" i="18"/>
  <c r="H39" i="18"/>
  <c r="J38" i="18"/>
  <c r="H38" i="18"/>
  <c r="J37" i="18"/>
  <c r="H37" i="18"/>
  <c r="J36" i="18"/>
  <c r="H36" i="18"/>
  <c r="H35" i="18"/>
  <c r="H33" i="18"/>
  <c r="H32" i="18"/>
  <c r="AB24" i="18"/>
  <c r="V24" i="18"/>
  <c r="P24" i="18"/>
  <c r="O24" i="18"/>
  <c r="AB23" i="18"/>
  <c r="V23" i="18"/>
  <c r="P23" i="18"/>
  <c r="O23" i="18"/>
  <c r="M23" i="18"/>
  <c r="L23" i="18"/>
  <c r="AB22" i="18"/>
  <c r="V22" i="18"/>
  <c r="P22" i="18"/>
  <c r="O22" i="18"/>
  <c r="M22" i="18"/>
  <c r="L22" i="18"/>
  <c r="G22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L21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L20" i="18"/>
  <c r="AB19" i="18"/>
  <c r="AA19" i="18"/>
  <c r="Z19" i="18"/>
  <c r="Y19" i="18"/>
  <c r="X19" i="18"/>
  <c r="W19" i="18"/>
  <c r="V19" i="18"/>
  <c r="U19" i="18"/>
  <c r="T19" i="18"/>
  <c r="S19" i="18"/>
  <c r="R19" i="18"/>
  <c r="P19" i="18"/>
  <c r="O19" i="18"/>
  <c r="L19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L18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L17" i="18"/>
  <c r="AB16" i="18"/>
  <c r="AA16" i="18"/>
  <c r="Z16" i="18"/>
  <c r="Y16" i="18"/>
  <c r="X16" i="18"/>
  <c r="W16" i="18"/>
  <c r="V16" i="18"/>
  <c r="U16" i="18"/>
  <c r="T16" i="18"/>
  <c r="S16" i="18"/>
  <c r="R16" i="18"/>
  <c r="P16" i="18"/>
  <c r="O16" i="18"/>
  <c r="L16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L15" i="18"/>
  <c r="G15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L14" i="18"/>
  <c r="J6" i="18"/>
  <c r="J5" i="18"/>
  <c r="H5" i="18"/>
  <c r="J4" i="18"/>
  <c r="H45" i="15"/>
  <c r="G45" i="15"/>
  <c r="H44" i="15"/>
  <c r="H43" i="15"/>
  <c r="H42" i="15"/>
  <c r="H41" i="15"/>
  <c r="H40" i="15"/>
  <c r="J39" i="15"/>
  <c r="H39" i="15"/>
  <c r="J38" i="15"/>
  <c r="H38" i="15"/>
  <c r="J37" i="15"/>
  <c r="H37" i="15"/>
  <c r="H36" i="15"/>
  <c r="H34" i="15"/>
  <c r="H33" i="15"/>
  <c r="AB25" i="15"/>
  <c r="AA25" i="15"/>
  <c r="V25" i="15"/>
  <c r="P25" i="15"/>
  <c r="O25" i="15"/>
  <c r="AB24" i="15"/>
  <c r="AA24" i="15"/>
  <c r="V24" i="15"/>
  <c r="P24" i="15"/>
  <c r="O24" i="15"/>
  <c r="M24" i="15"/>
  <c r="L24" i="15"/>
  <c r="AB23" i="15"/>
  <c r="AA23" i="15"/>
  <c r="V23" i="15"/>
  <c r="P23" i="15"/>
  <c r="O23" i="15"/>
  <c r="M23" i="15"/>
  <c r="L23" i="15"/>
  <c r="G23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L22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L21" i="15"/>
  <c r="AB20" i="15"/>
  <c r="AA20" i="15"/>
  <c r="Z20" i="15"/>
  <c r="Y20" i="15"/>
  <c r="X20" i="15"/>
  <c r="W20" i="15"/>
  <c r="V20" i="15"/>
  <c r="U20" i="15"/>
  <c r="T20" i="15"/>
  <c r="S20" i="15"/>
  <c r="R20" i="15"/>
  <c r="P20" i="15"/>
  <c r="O20" i="15"/>
  <c r="L20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L19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L18" i="15"/>
  <c r="AB17" i="15"/>
  <c r="AA17" i="15"/>
  <c r="Z17" i="15"/>
  <c r="Y17" i="15"/>
  <c r="X17" i="15"/>
  <c r="W17" i="15"/>
  <c r="V17" i="15"/>
  <c r="U17" i="15"/>
  <c r="T17" i="15"/>
  <c r="S17" i="15"/>
  <c r="R17" i="15"/>
  <c r="P17" i="15"/>
  <c r="O17" i="15"/>
  <c r="L17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L16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L15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L14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L13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L12" i="15"/>
  <c r="J6" i="15"/>
  <c r="J5" i="15"/>
  <c r="H5" i="15"/>
  <c r="J4" i="15"/>
  <c r="C21" i="22" l="1"/>
  <c r="C23" i="22" s="1"/>
  <c r="C20" i="22"/>
  <c r="P33" i="20"/>
  <c r="P34" i="20" s="1"/>
  <c r="Q33" i="20"/>
  <c r="Q34" i="20" s="1"/>
  <c r="P35" i="20" l="1"/>
</calcChain>
</file>

<file path=xl/sharedStrings.xml><?xml version="1.0" encoding="utf-8"?>
<sst xmlns="http://schemas.openxmlformats.org/spreadsheetml/2006/main" count="1116" uniqueCount="359">
  <si>
    <t xml:space="preserve">Description of Activities </t>
  </si>
  <si>
    <t xml:space="preserve">Type of Flow </t>
  </si>
  <si>
    <t xml:space="preserve">% Exception </t>
  </si>
  <si>
    <t xml:space="preserve">Stakeholder </t>
  </si>
  <si>
    <t xml:space="preserve">Share AP Invoice with details of products &amp; services provided along with associated costs  (For APAC,HBLMBL)(Email) </t>
  </si>
  <si>
    <t>Receipt of email in the shared email box long with AP Invoice &amp; HBL/MBL or Paycargo request lopping CSO</t>
  </si>
  <si>
    <t>Check for availability/readability/language barrier of AP Invoice</t>
  </si>
  <si>
    <t>Identify country from AP Invoice</t>
  </si>
  <si>
    <t xml:space="preserve">Check for Shipment Number in CR2 </t>
  </si>
  <si>
    <t>Reshare the shipment number information to GSC AP COS</t>
  </si>
  <si>
    <t>Check &amp; Validate details of  AP Invoice (Charge type , Currency, Exchange rate has to be same for all charges, Vendor name, Amount, tax rate ,Invoice number, Invoice date</t>
  </si>
  <si>
    <t xml:space="preserve">Check for the charges as per charge lines </t>
  </si>
  <si>
    <t>Split the charges as per charge line on Invoice copy &amp; update invoice number , date &amp; request date (Multiple Charge line )</t>
  </si>
  <si>
    <t>Post AP Invoice in CR2</t>
  </si>
  <si>
    <t>Check interfacing of  AP Invoice in fusion</t>
  </si>
  <si>
    <t>Share email (Supporting Docs) confirmation to CSO &amp; Validation and Payment team</t>
  </si>
  <si>
    <t xml:space="preserve">Inform CR2 Product  Team for interface issues </t>
  </si>
  <si>
    <t xml:space="preserve">Resolution of interface issues by CR2 Team </t>
  </si>
  <si>
    <t xml:space="preserve">Review &amp; Check – if mismatch due to supplier </t>
  </si>
  <si>
    <t xml:space="preserve">Check for the mismatch amount (Email &amp; CR2)  
</t>
  </si>
  <si>
    <t xml:space="preserve">Make payment &amp; send Paycargo receipt to GSC AP COS Team </t>
  </si>
  <si>
    <t xml:space="preserve">Supplier </t>
  </si>
  <si>
    <t>NA</t>
  </si>
  <si>
    <t>CSO</t>
  </si>
  <si>
    <t>GSC AP COS</t>
  </si>
  <si>
    <t>Reference No. in L5</t>
  </si>
  <si>
    <t>Step 1</t>
  </si>
  <si>
    <t>Step 2</t>
  </si>
  <si>
    <t>Step 3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</si>
  <si>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</si>
  <si>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</si>
  <si>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</si>
  <si>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</si>
  <si>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</si>
  <si>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</si>
  <si>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</si>
  <si>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</si>
  <si>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</si>
  <si>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</si>
  <si>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</si>
  <si>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</si>
  <si>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</si>
  <si>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4</t>
  </si>
  <si>
    <t xml:space="preserve">Happy Flow </t>
  </si>
  <si>
    <t>Exception 1b</t>
  </si>
  <si>
    <t>Exception 2a</t>
  </si>
  <si>
    <t>Exception 2b</t>
  </si>
  <si>
    <t>Amend accruals as per invoice copy (Within Threshold of 5% or 5 USD)</t>
  </si>
  <si>
    <t>Exception 2c</t>
  </si>
  <si>
    <t>Step 28</t>
  </si>
  <si>
    <t>Step 29</t>
  </si>
  <si>
    <t>Step 30</t>
  </si>
  <si>
    <t xml:space="preserve">Ask supplier for revised invoice - if mismatch due to supplier is less </t>
  </si>
  <si>
    <t xml:space="preserve">Share Credit Note -if mismatch due to supplier is more </t>
  </si>
  <si>
    <t>Step 22</t>
  </si>
  <si>
    <t xml:space="preserve">Query to CSO for the discrepancy of the information for AP Invoice details </t>
  </si>
  <si>
    <t>Exception 4a</t>
  </si>
  <si>
    <t>Step 18</t>
  </si>
  <si>
    <t>Step 19</t>
  </si>
  <si>
    <t>Step 20</t>
  </si>
  <si>
    <t>Step 21</t>
  </si>
  <si>
    <t>Step 23</t>
  </si>
  <si>
    <t>Step 24</t>
  </si>
  <si>
    <t>Step 26</t>
  </si>
  <si>
    <t>Step 25</t>
  </si>
  <si>
    <t xml:space="preserve">IT Team </t>
  </si>
  <si>
    <t>Step 27</t>
  </si>
  <si>
    <t xml:space="preserve">GSC Finance Team </t>
  </si>
  <si>
    <t>Exception 2d</t>
  </si>
  <si>
    <t>Send Mismatch Analysis to the CSO ( Out of threshold 0f 5% or 5 USD)</t>
  </si>
  <si>
    <t xml:space="preserve">Type of Activity </t>
  </si>
  <si>
    <t xml:space="preserve">Value Added </t>
  </si>
  <si>
    <t>BNV</t>
  </si>
  <si>
    <t xml:space="preserve">Non Value Added </t>
  </si>
  <si>
    <t xml:space="preserve">Check for AP Invoice accruals matching  (100% Match of Invoice &amp; Accruals) </t>
  </si>
  <si>
    <t>Exception 1a</t>
  </si>
  <si>
    <t>Query to CSO / Vendor for the missing attachment/readability/language barrier of AP Invoice (Email)</t>
  </si>
  <si>
    <t xml:space="preserve">Elimination </t>
  </si>
  <si>
    <t>Check for Shipment Number on AP Invoice or  Ocean Carrier Invoice/ Airway Bill  in email content</t>
  </si>
  <si>
    <t xml:space="preserve">Query to CSO / Vendor for the information on shipment number </t>
  </si>
  <si>
    <t xml:space="preserve">Check for Branch/ Shipment Number/ Ocean Invoice/Airway bill (In CR2) </t>
  </si>
  <si>
    <t>Exception 2e</t>
  </si>
  <si>
    <t>Exception 2f</t>
  </si>
  <si>
    <t>Exception 2g</t>
  </si>
  <si>
    <t>Exception 2h</t>
  </si>
  <si>
    <t>Exception 4c</t>
  </si>
  <si>
    <t xml:space="preserve">Exception 3 </t>
  </si>
  <si>
    <t>Exception 4b</t>
  </si>
  <si>
    <t>Target</t>
  </si>
  <si>
    <t>Current</t>
  </si>
  <si>
    <t xml:space="preserve">Exception 1 </t>
  </si>
  <si>
    <t>Exception 2</t>
  </si>
  <si>
    <t>Exception 3</t>
  </si>
  <si>
    <t>Exception 4</t>
  </si>
  <si>
    <t>No. of FTEs</t>
  </si>
  <si>
    <t xml:space="preserve">No. of Days </t>
  </si>
  <si>
    <t xml:space="preserve">Single Charge Line Exception </t>
  </si>
  <si>
    <t xml:space="preserve">Multi Charge Line Exception </t>
  </si>
  <si>
    <t xml:space="preserve">Volume </t>
  </si>
  <si>
    <t xml:space="preserve">Total Exception Volume </t>
  </si>
  <si>
    <t xml:space="preserve">Time in Secs </t>
  </si>
  <si>
    <t>% Exception Volume</t>
  </si>
  <si>
    <t xml:space="preserve">Overall time in Secs </t>
  </si>
  <si>
    <t xml:space="preserve">Type of Exception </t>
  </si>
  <si>
    <t xml:space="preserve">AHT for Exception 
(In Secs) </t>
  </si>
  <si>
    <t>% Volume For the step</t>
  </si>
  <si>
    <t>Total Volume</t>
  </si>
  <si>
    <t>Single Charge Line Volume</t>
  </si>
  <si>
    <t xml:space="preserve">Multi Charge
Line Volume </t>
  </si>
  <si>
    <t>As-Is Time 
(In Secs)</t>
  </si>
  <si>
    <t>Target  Time 
(In Secs)</t>
  </si>
  <si>
    <t>Actual Vol for  step (Single Charge Line)</t>
  </si>
  <si>
    <t>Actual Vol for step (Multi Charge Line)</t>
  </si>
  <si>
    <t>AS IS 
Total Eff Secs 
(Single Charge Line )</t>
  </si>
  <si>
    <t>AS IS 
Total Eff Sec
(Multi Charge Line)</t>
  </si>
  <si>
    <t>AS IS 
Total Eff Sec</t>
  </si>
  <si>
    <t xml:space="preserve">AS IS 
Total Eff in Mins </t>
  </si>
  <si>
    <t xml:space="preserve">AS IS 
Total Eff in HRS </t>
  </si>
  <si>
    <t xml:space="preserve">AS IS 
Total Eff in Days </t>
  </si>
  <si>
    <t>AS IS FTEs</t>
  </si>
  <si>
    <t>Target 
Total Eff Secs 
(Single Charge Line )</t>
  </si>
  <si>
    <t>Target 
Total Eff Sec
(Multi Charge Line)</t>
  </si>
  <si>
    <t>Target 
Total Eff Sec</t>
  </si>
  <si>
    <t xml:space="preserve">Target 
Total Eff in Mins </t>
  </si>
  <si>
    <t xml:space="preserve">Target 
Total Eff in HRS </t>
  </si>
  <si>
    <t xml:space="preserve">Target 
Total Eff in Days </t>
  </si>
  <si>
    <t>Target FTEs</t>
  </si>
  <si>
    <t>Sr.
No.</t>
  </si>
  <si>
    <t>Add the accruals &amp; adjust the Credit Note in CR2 
(Out of threshold 0f 5% or 5 USD)</t>
  </si>
  <si>
    <t xml:space="preserve">Update invoice number , date &amp; request date (Single line charge ), 
upload invoice </t>
  </si>
  <si>
    <t xml:space="preserve">No. of Invoices Processed 
Productivity/ Person / Day </t>
  </si>
  <si>
    <t>Grand Total</t>
  </si>
  <si>
    <t>Row Labels</t>
  </si>
  <si>
    <t>Sum of AS IS FTEs</t>
  </si>
  <si>
    <t>Sum of Target FTEs</t>
  </si>
  <si>
    <t>Saving Per Activity</t>
  </si>
  <si>
    <t xml:space="preserve">Efforts </t>
  </si>
  <si>
    <t xml:space="preserve">Retain Effort </t>
  </si>
  <si>
    <t>Optimize Effort</t>
  </si>
  <si>
    <t xml:space="preserve">Eliminate Effort </t>
  </si>
  <si>
    <t>Proposed Solution</t>
  </si>
  <si>
    <t>Process Enhancement</t>
  </si>
  <si>
    <t>Digitization</t>
  </si>
  <si>
    <t xml:space="preserve">Workflow </t>
  </si>
  <si>
    <t>Column Labels</t>
  </si>
  <si>
    <t xml:space="preserve">CR2 Enhancement </t>
  </si>
  <si>
    <t xml:space="preserve">Existing Process </t>
  </si>
  <si>
    <t xml:space="preserve">Amend accruals as per the invoice in CR2- If no mismatch due to supplier  </t>
  </si>
  <si>
    <t xml:space="preserve">NA </t>
  </si>
  <si>
    <t xml:space="preserve">Business Non Value Added </t>
  </si>
  <si>
    <t xml:space="preserve">Optimize Effort </t>
  </si>
  <si>
    <t>Dec'25</t>
  </si>
  <si>
    <t>Country Name</t>
  </si>
  <si>
    <t>Region Name</t>
  </si>
  <si>
    <t>BU Name</t>
  </si>
  <si>
    <t>CR2</t>
  </si>
  <si>
    <t>Others</t>
  </si>
  <si>
    <t>AP Validation</t>
  </si>
  <si>
    <t>% Contribution for CR2</t>
  </si>
  <si>
    <t>Canada</t>
  </si>
  <si>
    <t>Americas</t>
  </si>
  <si>
    <t>CAVAN - DP World Logistics Canada</t>
  </si>
  <si>
    <t>Panama</t>
  </si>
  <si>
    <t>PAPTY - DPWL Panama (FF)</t>
  </si>
  <si>
    <t>USA</t>
  </si>
  <si>
    <t>USCLT - DP World Logistics USA</t>
  </si>
  <si>
    <t>Chile</t>
  </si>
  <si>
    <t>CLCCP - DP World Logistics</t>
  </si>
  <si>
    <t>Cambodia</t>
  </si>
  <si>
    <t>APAC</t>
  </si>
  <si>
    <t>KNPNH - DP World Logistics Cambodia (FF)</t>
  </si>
  <si>
    <t>Indonesia</t>
  </si>
  <si>
    <t>IDJPU - PT DPW Logistics Indonesia - Jakarta (FF)</t>
  </si>
  <si>
    <t>Malaysia</t>
  </si>
  <si>
    <t>MYKUL - DPW Malaysia</t>
  </si>
  <si>
    <t>Vietnam</t>
  </si>
  <si>
    <t>VNSGN - DP World Vietnam</t>
  </si>
  <si>
    <t>Thailand</t>
  </si>
  <si>
    <t>THBKK - DP World Logistics Solutions (Thailand) Company (FF)</t>
  </si>
  <si>
    <t>Ireland</t>
  </si>
  <si>
    <t>Europe</t>
  </si>
  <si>
    <t>IELMK - Tech - Limerick (FF)</t>
  </si>
  <si>
    <t>Austria</t>
  </si>
  <si>
    <t>ATLNZ - DP World Logistics Austria - Linz (FF)</t>
  </si>
  <si>
    <t>France</t>
  </si>
  <si>
    <t>FRPAR - DP World Logistics France - Paris (FF)</t>
  </si>
  <si>
    <t>Germany</t>
  </si>
  <si>
    <t>DEHAM - DP World Logistics Germany - Hamburg (FF)</t>
  </si>
  <si>
    <t>Italy</t>
  </si>
  <si>
    <t>ITMIL - L1 - DP WORLD LOGISTICS ITALY-Milano (FF)</t>
  </si>
  <si>
    <t>Netherlands</t>
  </si>
  <si>
    <t>NLTLB - DP World Logistics Netherlands - Tilburg (FF)</t>
  </si>
  <si>
    <t>Spain</t>
  </si>
  <si>
    <t>ESGTF - DP World Logistics Spain - FF</t>
  </si>
  <si>
    <t>United Kingdom</t>
  </si>
  <si>
    <t>GBHIL - Tech - Hinckley</t>
  </si>
  <si>
    <t>Belgium</t>
  </si>
  <si>
    <t>BEANR - DP World Logistics Belgium - Antwerp (FF)</t>
  </si>
  <si>
    <t>Czech Republic</t>
  </si>
  <si>
    <t>CZLOU - DP World Logistics Czech - FF</t>
  </si>
  <si>
    <t>Hungary</t>
  </si>
  <si>
    <t>HUBUD - DP World Logistics Hungary - FF</t>
  </si>
  <si>
    <t>Switzerland</t>
  </si>
  <si>
    <t>CHTWL - DP World Global Forwarding Switzerland - Thalwil - FF</t>
  </si>
  <si>
    <t>KSA</t>
  </si>
  <si>
    <t>GCC</t>
  </si>
  <si>
    <t>SAJED - Dubai Ports World for Logistics Services</t>
  </si>
  <si>
    <t>UAE-Abu Dhabi</t>
  </si>
  <si>
    <t>AEAUH - DPW Logistics Abu Dhabi (FF)</t>
  </si>
  <si>
    <t>UAE-RAK</t>
  </si>
  <si>
    <t>AERKT - DPW Logistics RAK (FF)</t>
  </si>
  <si>
    <t>Pakistan</t>
  </si>
  <si>
    <t>SCO MENA</t>
  </si>
  <si>
    <t>PKKHI - DP World Logistics Pakistan - Karachi (FF)</t>
  </si>
  <si>
    <t>Egypt</t>
  </si>
  <si>
    <t>EGCA7 - DP World Logistics Services Masr</t>
  </si>
  <si>
    <t>Kenya</t>
  </si>
  <si>
    <t>SSA</t>
  </si>
  <si>
    <t>KENBO - International Health Care Distributors</t>
  </si>
  <si>
    <t>Namibia</t>
  </si>
  <si>
    <t>NAWVB - Camel Thorn Freight Forwarding</t>
  </si>
  <si>
    <t>India</t>
  </si>
  <si>
    <t>HIPL-FF : Hindustan Infralog Private Limited</t>
  </si>
  <si>
    <t>Mozambique</t>
  </si>
  <si>
    <t>MZBEW - JJ Transportes Lda - Maputo (FF)</t>
  </si>
  <si>
    <t>Singapore</t>
  </si>
  <si>
    <t>SGSIN - DP World Logistics Singapore - FF</t>
  </si>
  <si>
    <t>Zambia</t>
  </si>
  <si>
    <t>ZMLUN - DP World Clearing and Forwarding (FF)</t>
  </si>
  <si>
    <t>Mexico</t>
  </si>
  <si>
    <t>MXCHT - DPWL Mexico - FF</t>
  </si>
  <si>
    <t>Bahrain</t>
  </si>
  <si>
    <t>BHBAH - DP World Logistics Bahrain - FF</t>
  </si>
  <si>
    <t>Brazil</t>
  </si>
  <si>
    <t>BRSSZ - DP WORLD LOGISTICS BRAZIL - Santos (FF)</t>
  </si>
  <si>
    <t>Dominican Republic</t>
  </si>
  <si>
    <t>DOCAU - DPW Logistics Dominicana - FF</t>
  </si>
  <si>
    <t>Oman</t>
  </si>
  <si>
    <t>OMMCT - DP World Logistics SPC - FF</t>
  </si>
  <si>
    <t>Portugal</t>
  </si>
  <si>
    <t>PTOPO - DPW Logistics Portugal S.A. - Porto - FF</t>
  </si>
  <si>
    <t>MZBEW - Mozambique Vessel Agency - Beira</t>
  </si>
  <si>
    <t>Uganda</t>
  </si>
  <si>
    <t>UGKLA - DP World Logistics Freight Forwarding - Uganda</t>
  </si>
  <si>
    <t>Tanzania</t>
  </si>
  <si>
    <t>TZDAR - Imperial Freight Forwarding</t>
  </si>
  <si>
    <t xml:space="preserve">Total </t>
  </si>
  <si>
    <t>CR2 Enhancement 2</t>
  </si>
  <si>
    <t>Dec 25 Volume</t>
  </si>
  <si>
    <t xml:space="preserve">
Vessel Planning updates the TDA in Zodiac and shares the final TDR.</t>
  </si>
  <si>
    <t>PNT_THC_1.1.1</t>
  </si>
  <si>
    <t>PNT_THC_1.1.2</t>
  </si>
  <si>
    <t>PNT_THC_1.1.4</t>
  </si>
  <si>
    <t>PNT_THC_1.1.6</t>
  </si>
  <si>
    <t>PNT_THC_1.1.8</t>
  </si>
  <si>
    <t>PNT_THC_1.1.9</t>
  </si>
  <si>
    <t>PNT_THC_1.1.10</t>
  </si>
  <si>
    <t>PNT_THC_1.1.11</t>
  </si>
  <si>
    <t>PNT_THC_1.1.12</t>
  </si>
  <si>
    <t>PNT_THC_1.1.13</t>
  </si>
  <si>
    <t>Time
(Secs)</t>
  </si>
  <si>
    <t>GSC AR</t>
  </si>
  <si>
    <t>Vessel Planning Ops</t>
  </si>
  <si>
    <t>SCO IT</t>
  </si>
  <si>
    <t>Independent Flow</t>
  </si>
  <si>
    <t>Reference No. in L5
(ASIS)</t>
  </si>
  <si>
    <t>PNT_THC_1.1.14</t>
  </si>
  <si>
    <t>Tool</t>
  </si>
  <si>
    <t>THC</t>
  </si>
  <si>
    <t xml:space="preserve">Target 
Total Eff Secs </t>
  </si>
  <si>
    <t>Mins</t>
  </si>
  <si>
    <t>ASIS Time
(Weight)</t>
  </si>
  <si>
    <t>TOBE Time
(Weight)</t>
  </si>
  <si>
    <t>Description of Activities</t>
  </si>
  <si>
    <t xml:space="preserve">AS IS 
Total Eff Secs </t>
  </si>
  <si>
    <t>Actual Vol for Step</t>
  </si>
  <si>
    <t>Secs</t>
  </si>
  <si>
    <t>Efficiency</t>
  </si>
  <si>
    <t>Savings Per Activity</t>
  </si>
  <si>
    <t>Nov-25 to Jan-26 Vessels</t>
  </si>
  <si>
    <t>Exchange Rate Updation</t>
  </si>
  <si>
    <t>Taking Exchange Rate</t>
  </si>
  <si>
    <t>Updating Exchange Rate</t>
  </si>
  <si>
    <t>TDA</t>
  </si>
  <si>
    <t>Zodiac Login</t>
  </si>
  <si>
    <t>TDA Data Verification</t>
  </si>
  <si>
    <t>TDA Data Updation</t>
  </si>
  <si>
    <t>Operations and IT - Exception Management</t>
  </si>
  <si>
    <t>Pushing of data to EBS</t>
  </si>
  <si>
    <t>EBS Data Verification in Txn Editor</t>
  </si>
  <si>
    <t>Draft Invoice Qty Verification</t>
  </si>
  <si>
    <t>IT Exceptiopn Management</t>
  </si>
  <si>
    <t>Invoice Finalization</t>
  </si>
  <si>
    <t>ASIS (Mins)</t>
  </si>
  <si>
    <t xml:space="preserve">Taking Exchange Rate
</t>
  </si>
  <si>
    <t>Update Exchange Rate</t>
  </si>
  <si>
    <t>Available Time</t>
  </si>
  <si>
    <t>Total Time taken to process Vessels</t>
  </si>
  <si>
    <t>Total Time Spent</t>
  </si>
  <si>
    <t>Time per Invoice Hrs</t>
  </si>
  <si>
    <t>Time per Invoice Mts</t>
  </si>
  <si>
    <t>multiply containers</t>
  </si>
  <si>
    <t>Exception Flow</t>
  </si>
  <si>
    <t xml:space="preserve">
Vessel Planning updates the BIS in Zodiac</t>
  </si>
  <si>
    <t>Check departed status of Vessel</t>
  </si>
  <si>
    <t>View VIA wise data - Export/Import</t>
  </si>
  <si>
    <t xml:space="preserve">Data Validation in BIS - Export/import </t>
  </si>
  <si>
    <t>Value Added</t>
  </si>
  <si>
    <t>Business Value Add</t>
  </si>
  <si>
    <t>Non-Value Add</t>
  </si>
  <si>
    <t>Proposed 
Solution</t>
  </si>
  <si>
    <t>Stakeholder</t>
  </si>
  <si>
    <t>BU Ops</t>
  </si>
  <si>
    <t>BU Ops/ IT</t>
  </si>
  <si>
    <t>BU IT</t>
  </si>
  <si>
    <t>AHT Secs</t>
  </si>
  <si>
    <t>AHT Mins</t>
  </si>
  <si>
    <t>Parameters</t>
  </si>
  <si>
    <t>Cartology</t>
  </si>
  <si>
    <t>PNT_THC_1.1.3</t>
  </si>
  <si>
    <t>PNT_THC_1.1.5 
PNT_THC_1.1.6</t>
  </si>
  <si>
    <t>PNT_THC_1.1.7
PNT_THC_1.1.8</t>
  </si>
  <si>
    <t>PNT_THC_1.1.10
PNT_THC_1.1.11
PNT_THC_1.1.12</t>
  </si>
  <si>
    <t>PNT_THC_1.1.17</t>
  </si>
  <si>
    <t>PNT_THC_1.1.22</t>
  </si>
  <si>
    <t>PNT_BIS_1.2.4</t>
  </si>
  <si>
    <t>PNT_BIS_1.2.1</t>
  </si>
  <si>
    <t>PNT_BIS_1.2.8</t>
  </si>
  <si>
    <t>PNT_BIS_1.2.10</t>
  </si>
  <si>
    <t>PNT_BIS_1.2.18</t>
  </si>
  <si>
    <t>PNT_BIS_1.2.16</t>
  </si>
  <si>
    <t>PNT_BIS_1.2.20</t>
  </si>
  <si>
    <t>PNT_BIS_1.2.22</t>
  </si>
  <si>
    <t>PNT_BIS_1.2.21</t>
  </si>
  <si>
    <t>Vessel Planning updates the TDA in 
Zodiac and shares the final TDR</t>
  </si>
  <si>
    <t>PNT_BIS_1.2.15 - vsl out</t>
  </si>
  <si>
    <t>PNT_BIS_1.2.15 - rail/gate out</t>
  </si>
  <si>
    <t>AHT per vessel (Mins)</t>
  </si>
  <si>
    <t>BIS - Vessel Out</t>
  </si>
  <si>
    <t>BIS-Rail &amp; Road out</t>
  </si>
  <si>
    <t>Total</t>
  </si>
  <si>
    <t>Total FTEs Saved</t>
  </si>
  <si>
    <t>Scope / Type of Billing</t>
  </si>
  <si>
    <t>FTE Required</t>
  </si>
  <si>
    <t>Vessel Volume per Month</t>
  </si>
  <si>
    <t>Available Minutes per FTE/month</t>
  </si>
  <si>
    <t>Potential FTE Savings through Automation (III)</t>
  </si>
  <si>
    <t>Actual FTEs (As per HC Report) (I)</t>
  </si>
  <si>
    <t>Required FTEs as per analysis (II)</t>
  </si>
  <si>
    <t>Excess FTE (Available to be released) (I-II)</t>
  </si>
  <si>
    <t>% Automation</t>
  </si>
  <si>
    <t>Per FTE Cost/month $</t>
  </si>
  <si>
    <t>FTE Retained (II-III)</t>
  </si>
  <si>
    <t>Current Effort (Mins)/Vessel</t>
  </si>
  <si>
    <t>Total Effort required in mins/month</t>
  </si>
  <si>
    <t>Total FTE Cost Savings $ (Annualized)</t>
  </si>
  <si>
    <t>Number of Vessels/Month</t>
  </si>
  <si>
    <t>Values</t>
  </si>
  <si>
    <t>Expected Effort (Mins)/Vessel - Post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</si>
</sst>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.0"/>
    <numFmt numFmtId="165" formatCode="0.0%"/>
    <numFmt numFmtId="166" formatCode="_-[$$-409]* #,##0_ ;_-[$$-409]* \-#,##0\ ;_-[$$-409]* &quot;-&quot;??_ ;_-@_ "/>
    <numFmt numFmtId="167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145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wrapText="1"/>
    </xf>
    <xf numFmtId="1" fontId="2" fillId="3" borderId="0" xfId="0" applyNumberFormat="1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9" fontId="0" fillId="4" borderId="2" xfId="0" applyNumberFormat="1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top" wrapText="1"/>
    </xf>
    <xf numFmtId="9" fontId="0" fillId="5" borderId="2" xfId="0" applyNumberForma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 vertical="center" wrapText="1"/>
    </xf>
    <xf numFmtId="9" fontId="0" fillId="5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top" wrapText="1"/>
    </xf>
    <xf numFmtId="9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 wrapText="1"/>
    </xf>
    <xf numFmtId="0" fontId="0" fillId="5" borderId="2" xfId="0" quotePrefix="1" applyFill="1" applyBorder="1" applyAlignment="1">
      <alignment horizontal="center" vertical="center" wrapText="1"/>
    </xf>
    <xf numFmtId="9" fontId="0" fillId="5" borderId="2" xfId="0" quotePrefix="1" applyNumberForma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17" fontId="2" fillId="3" borderId="0" xfId="0" applyNumberFormat="1" applyFont="1" applyFill="1" applyAlignment="1">
      <alignment horizontal="center" vertical="center" wrapText="1"/>
    </xf>
    <xf numFmtId="0" fontId="0" fillId="0" borderId="7" xfId="0" applyBorder="1"/>
    <xf numFmtId="0" fontId="2" fillId="3" borderId="0" xfId="0" applyFont="1" applyFill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64" fontId="0" fillId="0" borderId="9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0" fontId="0" fillId="0" borderId="1" xfId="0" applyBorder="1"/>
    <xf numFmtId="10" fontId="1" fillId="0" borderId="0" xfId="0" applyNumberFormat="1" applyFont="1" applyAlignment="1">
      <alignment horizontal="center" vertical="center" wrapText="1"/>
    </xf>
    <xf numFmtId="164" fontId="1" fillId="7" borderId="0" xfId="0" applyNumberFormat="1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2" xfId="0" applyNumberFormat="1" applyBorder="1" applyAlignment="1">
      <alignment horizontal="center" vertical="center" wrapText="1"/>
    </xf>
    <xf numFmtId="9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9" fontId="0" fillId="2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1" fillId="2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9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7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  <xf numFmtId="9" fontId="0" fillId="0" borderId="16" xfId="1" applyFont="1" applyBorder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1" fontId="0" fillId="0" borderId="21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164" fontId="0" fillId="0" borderId="2" xfId="0" applyNumberFormat="1" applyBorder="1" applyAlignment="1">
      <alignment horizontal="center"/>
    </xf>
    <xf numFmtId="1" fontId="0" fillId="0" borderId="23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8" fillId="0" borderId="0" xfId="0" applyFont="1" applyAlignment="1">
      <alignment horizontal="right" wrapText="1"/>
    </xf>
    <xf numFmtId="164" fontId="8" fillId="0" borderId="0" xfId="0" applyNumberFormat="1" applyFont="1" applyAlignment="1">
      <alignment horizontal="center" vertical="center" wrapText="1"/>
    </xf>
    <xf numFmtId="0" fontId="0" fillId="0" borderId="16" xfId="1" applyNumberFormat="1" applyFont="1" applyBorder="1" applyAlignment="1">
      <alignment horizontal="center" vertical="center" wrapText="1"/>
    </xf>
    <xf numFmtId="0" fontId="1" fillId="0" borderId="2" xfId="1" applyNumberFormat="1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66" fontId="0" fillId="0" borderId="2" xfId="0" applyNumberFormat="1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" fontId="0" fillId="0" borderId="0" xfId="0" applyNumberFormat="1"/>
    <xf numFmtId="2" fontId="0" fillId="0" borderId="2" xfId="0" applyNumberFormat="1" applyBorder="1"/>
    <xf numFmtId="0" fontId="1" fillId="0" borderId="0" xfId="0" applyFont="1"/>
    <xf numFmtId="0" fontId="0" fillId="10" borderId="2" xfId="0" applyFill="1" applyBorder="1"/>
    <xf numFmtId="2" fontId="0" fillId="10" borderId="2" xfId="0" applyNumberFormat="1" applyFill="1" applyBorder="1"/>
    <xf numFmtId="0" fontId="0" fillId="11" borderId="2" xfId="0" applyFill="1" applyBorder="1"/>
    <xf numFmtId="2" fontId="0" fillId="11" borderId="2" xfId="0" applyNumberFormat="1" applyFill="1" applyBorder="1"/>
    <xf numFmtId="0" fontId="0" fillId="5" borderId="2" xfId="0" applyFill="1" applyBorder="1"/>
    <xf numFmtId="2" fontId="0" fillId="5" borderId="2" xfId="0" applyNumberFormat="1" applyFill="1" applyBorder="1"/>
    <xf numFmtId="166" fontId="9" fillId="0" borderId="2" xfId="2" applyNumberFormat="1" applyFont="1" applyBorder="1" applyAlignment="1"/>
    <xf numFmtId="2" fontId="0" fillId="0" borderId="2" xfId="0" applyNumberFormat="1" applyBorder="1" applyAlignment="1">
      <alignment horizontal="center"/>
    </xf>
    <xf numFmtId="0" fontId="6" fillId="8" borderId="1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/>
    </xf>
    <xf numFmtId="1" fontId="2" fillId="12" borderId="2" xfId="0" applyNumberFormat="1" applyFont="1" applyFill="1" applyBorder="1" applyAlignment="1">
      <alignment horizontal="center"/>
    </xf>
    <xf numFmtId="2" fontId="2" fillId="12" borderId="2" xfId="0" applyNumberFormat="1" applyFont="1" applyFill="1" applyBorder="1" applyAlignment="1">
      <alignment horizontal="center"/>
    </xf>
    <xf numFmtId="0" fontId="2" fillId="12" borderId="0" xfId="0" applyFont="1" applyFill="1" applyAlignment="1">
      <alignment horizontal="center" vertical="center" wrapText="1"/>
    </xf>
    <xf numFmtId="167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colors>
    <mruColors>
      <color rgb="FF1E1450"/>
      <color rgb="FF001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695325</xdr:colOff>
      <xdr:row>3</xdr:row>
      <xdr:rowOff>171450</xdr:rowOff>
    </xdr:from>
    <xdr:to>
      <xdr:col>8</xdr:col>
      <xdr:colOff>828675</xdr:colOff>
      <xdr:row>3</xdr:row>
      <xdr:rowOff>342900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F078AD15-7774-E92B-846A-6A9B5C9AEAE7}"/>
            </a:ext>
          </a:extLst>
        </xdr:cNvPr>
        <xdr:cNvSpPr/>
      </xdr:nvSpPr>
      <xdr:spPr>
        <a:xfrm>
          <a:off x="9620250" y="762000"/>
          <a:ext cx="133350" cy="171450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l Kulkarni" refreshedDate="46093.901081365744" createdVersion="8" refreshedVersion="8" minRefreshableVersion="3" recordCount="30" xr:uid="{45C53F1E-C017-42EF-BDA1-EADD8DA9B08C}">
  <cacheSource type="worksheet">
    <worksheetSource ref="C10:AC40" sheet="AP COS Activities "/>
  </cacheSource>
  <cacheFields count="28">
    <cacheField name="Sr._x000a_No." numFmtId="0">
      <sharedItems containsSemiMixedTypes="0" containsString="0" containsNumber="1" containsInteger="1" minValue="1" maxValue="30"/>
    </cacheField>
    <cacheField name="Reference No. in L5" numFmtId="0">
      <sharedItems/>
    </cacheField>
    <cacheField name="Stakeholder " numFmtId="0">
      <sharedItems count="5">
        <s v="Supplier "/>
        <s v="GSC AP COS"/>
        <s v="CSO"/>
        <s v="IT Team "/>
        <s v="GSC Finance Team "/>
      </sharedItems>
    </cacheField>
    <cacheField name="Description of Activities " numFmtId="0">
      <sharedItems/>
    </cacheField>
    <cacheField name="Type of Flow " numFmtId="0">
      <sharedItems/>
    </cacheField>
    <cacheField name="Efforts " numFmtId="0">
      <sharedItems containsBlank="1" count="8">
        <s v="Retain Effort "/>
        <s v="Optimize Effort"/>
        <s v="Eliminate Effort "/>
        <s v="NA"/>
        <s v="NA "/>
        <m u="1"/>
        <s v="Eliminate Effort" u="1"/>
        <s v="Retain Effort" u="1"/>
      </sharedItems>
    </cacheField>
    <cacheField name="Proposed Solution" numFmtId="0">
      <sharedItems containsBlank="1" count="8">
        <s v="Existing Process "/>
        <s v="CR2 Enhancement "/>
        <s v="Process Enhancement"/>
        <s v="NA"/>
        <s v="Digitization"/>
        <s v="Workflow "/>
        <m u="1"/>
        <s v="CR2 Enhancemnet " u="1"/>
      </sharedItems>
    </cacheField>
    <cacheField name="Type of Activity " numFmtId="0">
      <sharedItems/>
    </cacheField>
    <cacheField name="As-Is Time _x000a_(In Secs)" numFmtId="0">
      <sharedItems containsMixedTypes="1" containsNumber="1" containsInteger="1" minValue="10" maxValue="480"/>
    </cacheField>
    <cacheField name="Target  Time _x000a_(In Secs)" numFmtId="0">
      <sharedItems containsMixedTypes="1" containsNumber="1" containsInteger="1" minValue="0" maxValue="420"/>
    </cacheField>
    <cacheField name="% Volume For the step" numFmtId="0">
      <sharedItems containsMixedTypes="1" containsNumber="1" minValue="0.02" maxValue="1"/>
    </cacheField>
    <cacheField name="Actual Vol for  step (Single Charge Line)" numFmtId="0">
      <sharedItems containsBlank="1" containsMixedTypes="1" containsNumber="1" minValue="400.84500000000003" maxValue="20042.25"/>
    </cacheField>
    <cacheField name="Actual Vol for step (Multi Charge Line)" numFmtId="0">
      <sharedItems containsMixedTypes="1" containsNumber="1" minValue="133.61500000000001" maxValue="6680.75"/>
    </cacheField>
    <cacheField name="AS IS _x000a_Total Eff Secs _x000a_(Single Charge Line )" numFmtId="0">
      <sharedItems containsMixedTypes="1" containsNumber="1" minValue="0" maxValue="3206760"/>
    </cacheField>
    <cacheField name="AS IS _x000a_Total Eff Sec_x000a_(Multi Charge Line)" numFmtId="0">
      <sharedItems containsMixedTypes="1" containsNumber="1" minValue="13361.5" maxValue="1068920"/>
    </cacheField>
    <cacheField name="AS IS _x000a_Total Eff Sec" numFmtId="0">
      <sharedItems containsMixedTypes="1" containsNumber="1" minValue="53446" maxValue="4275680"/>
    </cacheField>
    <cacheField name="AS IS _x000a_Total Eff in Mins " numFmtId="0">
      <sharedItems containsMixedTypes="1" containsNumber="1" minValue="890.76666666666665" maxValue="71261.333333333328"/>
    </cacheField>
    <cacheField name="AS IS _x000a_Total Eff in HRS " numFmtId="0">
      <sharedItems containsMixedTypes="1" containsNumber="1" minValue="14.84611111111111" maxValue="1187.6888888888889"/>
    </cacheField>
    <cacheField name="AS IS _x000a_Total Eff in Days " numFmtId="0">
      <sharedItems containsMixedTypes="1" containsNumber="1" minValue="1.9794814814814814" maxValue="158.35851851851851"/>
    </cacheField>
    <cacheField name="AS IS FTEs" numFmtId="0">
      <sharedItems containsMixedTypes="1" containsNumber="1" minValue="0.10997119341563785" maxValue="8.7976954732510286"/>
    </cacheField>
    <cacheField name="Target _x000a_Total Eff Secs _x000a_(Single Charge Line )" numFmtId="0">
      <sharedItems containsMixedTypes="1" containsNumber="1" minValue="0" maxValue="2004225"/>
    </cacheField>
    <cacheField name="Target _x000a_Total Eff Sec_x000a_(Multi Charge Line)" numFmtId="0">
      <sharedItems containsMixedTypes="1" containsNumber="1" minValue="0" maxValue="668075"/>
    </cacheField>
    <cacheField name="Target _x000a_Total Eff Sec" numFmtId="0">
      <sharedItems containsMixedTypes="1" containsNumber="1" minValue="0" maxValue="2672300"/>
    </cacheField>
    <cacheField name="Target _x000a_Total Eff in Mins " numFmtId="0">
      <sharedItems containsMixedTypes="1" containsNumber="1" minValue="0" maxValue="44538.333333333336"/>
    </cacheField>
    <cacheField name="Target _x000a_Total Eff in HRS " numFmtId="0">
      <sharedItems containsMixedTypes="1" containsNumber="1" minValue="0" maxValue="742.30555555555554"/>
    </cacheField>
    <cacheField name="Target _x000a_Total Eff in Days " numFmtId="0">
      <sharedItems containsMixedTypes="1" containsNumber="1" minValue="0" maxValue="98.974074074074068"/>
    </cacheField>
    <cacheField name="Target FTEs" numFmtId="0">
      <sharedItems containsMixedTypes="1" containsNumber="1" minValue="0" maxValue="5.4985596707818925"/>
    </cacheField>
    <cacheField name="Saving against each Actviity" numFmtId="0" formula="'AS IS FTEs'-'Target FT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Step 1"/>
    <x v="0"/>
    <s v="Share AP Invoice with details of products &amp; services provided along with associated costs  (For APAC,HBLMBL)(Email) "/>
    <s v="Happy Flow "/>
    <x v="0"/>
    <x v="0"/>
    <s v="Value Added 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2"/>
    <s v="Step 2"/>
    <x v="1"/>
    <s v="Receipt of email in the shared email box long with AP Invoice &amp; HBL/MBL or Paycargo request lopping CSO"/>
    <s v="Happy Flow "/>
    <x v="0"/>
    <x v="0"/>
    <s v="Value Added "/>
    <n v="25"/>
    <n v="25"/>
    <n v="1"/>
    <n v="20042.25"/>
    <n v="6680.75"/>
    <n v="501056.25"/>
    <n v="167018.75"/>
    <n v="668075"/>
    <n v="11134.583333333334"/>
    <n v="185.57638888888889"/>
    <n v="24.743518518518517"/>
    <n v="1.3746399176954731"/>
    <n v="501056.25"/>
    <n v="167018.75"/>
    <n v="668075"/>
    <n v="11134.583333333334"/>
    <n v="185.57638888888889"/>
    <n v="24.743518518518517"/>
    <n v="1.3746399176954731"/>
  </r>
  <r>
    <n v="3"/>
    <s v="Step 3"/>
    <x v="1"/>
    <s v="Check for availability/readability/language barrier of AP Invoice"/>
    <s v="Exception 1a"/>
    <x v="1"/>
    <x v="1"/>
    <s v="Non Value Added "/>
    <n v="25"/>
    <n v="10"/>
    <n v="0.08"/>
    <n v="1603.38"/>
    <n v="534.46"/>
    <n v="40084.5"/>
    <n v="13361.5"/>
    <n v="53446"/>
    <n v="890.76666666666665"/>
    <n v="14.84611111111111"/>
    <n v="1.9794814814814814"/>
    <n v="0.10997119341563785"/>
    <n v="16033.800000000001"/>
    <n v="5344.6"/>
    <n v="21378.400000000001"/>
    <n v="356.30666666666667"/>
    <n v="5.9384444444444444"/>
    <n v="0.7917925925925926"/>
    <n v="4.3988477366255142E-2"/>
  </r>
  <r>
    <n v="4"/>
    <s v="Step 4"/>
    <x v="1"/>
    <s v="Query to CSO / Vendor for the missing attachment/readability/language barrier of AP Invoice (Email)"/>
    <s v="Exception 1b"/>
    <x v="2"/>
    <x v="1"/>
    <s v="Non Value Added "/>
    <n v="120"/>
    <n v="0"/>
    <n v="0.08"/>
    <n v="1603.38"/>
    <n v="534.46"/>
    <n v="192405.6"/>
    <n v="64135.200000000004"/>
    <n v="256540.80000000002"/>
    <n v="4275.68"/>
    <n v="71.26133333333334"/>
    <n v="9.5015111111111121"/>
    <n v="0.52786172839506174"/>
    <n v="0"/>
    <n v="0"/>
    <n v="0"/>
    <n v="0"/>
    <n v="0"/>
    <n v="0"/>
    <n v="0"/>
  </r>
  <r>
    <n v="5"/>
    <s v="Step 5"/>
    <x v="1"/>
    <s v="Identify country from AP Invoice"/>
    <s v="Elimination "/>
    <x v="2"/>
    <x v="1"/>
    <s v="Non Value Added "/>
    <n v="15"/>
    <n v="0"/>
    <n v="1"/>
    <n v="20042.25"/>
    <n v="6680.75"/>
    <n v="300633.75"/>
    <n v="100211.25"/>
    <n v="400845"/>
    <n v="6680.75"/>
    <n v="111.34583333333333"/>
    <n v="14.84611111111111"/>
    <n v="0.82478395061728393"/>
    <n v="0"/>
    <n v="0"/>
    <n v="0"/>
    <n v="0"/>
    <n v="0"/>
    <n v="0"/>
    <n v="0"/>
  </r>
  <r>
    <n v="6"/>
    <s v="Step 6"/>
    <x v="1"/>
    <s v="Check for Shipment Number on AP Invoice or  Ocean Carrier Invoice/ Airway Bill  in email content"/>
    <s v="Elimination "/>
    <x v="1"/>
    <x v="1"/>
    <s v="Non Value Added "/>
    <n v="20"/>
    <n v="10"/>
    <n v="1"/>
    <n v="20042.25"/>
    <n v="6680.75"/>
    <n v="400845"/>
    <n v="133615"/>
    <n v="534460"/>
    <n v="8907.6666666666661"/>
    <n v="148.46111111111111"/>
    <n v="19.794814814814814"/>
    <n v="1.0997119341563786"/>
    <n v="200422.5"/>
    <n v="66807.5"/>
    <n v="267230"/>
    <n v="4453.833333333333"/>
    <n v="74.230555555555554"/>
    <n v="9.8974074074074068"/>
    <n v="0.54985596707818929"/>
  </r>
  <r>
    <n v="7"/>
    <s v="Step 10"/>
    <x v="1"/>
    <s v="Check for Branch/ Shipment Number/ Ocean Invoice/Airway bill (In CR2) "/>
    <s v="Elimination "/>
    <x v="1"/>
    <x v="1"/>
    <s v="Non Value Added "/>
    <n v="50"/>
    <n v="10"/>
    <n v="1"/>
    <n v="20042.25"/>
    <n v="6680.75"/>
    <n v="1002112.5"/>
    <n v="334037.5"/>
    <n v="1336150"/>
    <n v="22269.166666666668"/>
    <n v="371.15277777777777"/>
    <n v="49.487037037037034"/>
    <n v="2.7492798353909462"/>
    <n v="200422.5"/>
    <n v="66807.5"/>
    <n v="267230"/>
    <n v="4453.833333333333"/>
    <n v="74.230555555555554"/>
    <n v="9.8974074074074068"/>
    <n v="0.54985596707818929"/>
  </r>
  <r>
    <n v="8"/>
    <s v="Step 7"/>
    <x v="1"/>
    <s v="Query to CSO / Vendor for the information on shipment number "/>
    <s v="Elimination "/>
    <x v="2"/>
    <x v="2"/>
    <s v="Non Value Added "/>
    <n v="120"/>
    <n v="0"/>
    <n v="1"/>
    <n v="20042.25"/>
    <n v="6680.75"/>
    <n v="2405070"/>
    <n v="801690"/>
    <n v="3206760"/>
    <n v="53446"/>
    <n v="890.76666666666665"/>
    <n v="118.76888888888888"/>
    <n v="6.5982716049382715"/>
    <n v="0"/>
    <n v="0"/>
    <n v="0"/>
    <n v="0"/>
    <n v="0"/>
    <n v="0"/>
    <n v="0"/>
  </r>
  <r>
    <n v="9"/>
    <s v="Step 8"/>
    <x v="2"/>
    <s v="Check for Shipment Number in CR2 "/>
    <s v="Elimination "/>
    <x v="3"/>
    <x v="3"/>
    <s v="Non Value Added 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0"/>
    <s v="Step 9"/>
    <x v="2"/>
    <s v="Reshare the shipment number information to GSC AP COS"/>
    <s v="Exception 2d"/>
    <x v="3"/>
    <x v="3"/>
    <s v="Non Value Added 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1"/>
    <s v="Step 11"/>
    <x v="1"/>
    <s v="Check for AP Invoice accruals matching  (100% Match of Invoice &amp; Accruals) "/>
    <s v="Happy Flow "/>
    <x v="0"/>
    <x v="0"/>
    <s v="Value Added "/>
    <n v="40"/>
    <n v="40"/>
    <n v="1"/>
    <n v="20042.25"/>
    <n v="6680.75"/>
    <n v="801690"/>
    <n v="267230"/>
    <n v="1068920"/>
    <n v="17815.333333333332"/>
    <n v="296.92222222222222"/>
    <n v="39.589629629629627"/>
    <n v="2.1994238683127572"/>
    <n v="801690"/>
    <n v="267230"/>
    <n v="1068920"/>
    <n v="17815.333333333332"/>
    <n v="296.92222222222222"/>
    <n v="39.589629629629627"/>
    <n v="2.1994238683127572"/>
  </r>
  <r>
    <n v="12"/>
    <s v="Step 12"/>
    <x v="1"/>
    <s v="Amend accruals as per invoice copy (Within Threshold of 5% or 5 USD)"/>
    <s v="Exception 2a"/>
    <x v="2"/>
    <x v="1"/>
    <s v="Business Non Value Added "/>
    <n v="300"/>
    <n v="0"/>
    <n v="0.05"/>
    <n v="1002.1125000000001"/>
    <n v="334.03750000000002"/>
    <n v="300633.75"/>
    <n v="100211.25"/>
    <n v="400845"/>
    <n v="6680.75"/>
    <n v="111.34583333333333"/>
    <n v="14.84611111111111"/>
    <n v="0.82478395061728393"/>
    <n v="0"/>
    <n v="0"/>
    <n v="0"/>
    <n v="0"/>
    <n v="0"/>
    <n v="0"/>
    <n v="0"/>
  </r>
  <r>
    <n v="13"/>
    <s v="Step 13"/>
    <x v="1"/>
    <s v="Send Mismatch Analysis to the CSO ( Out of threshold 0f 5% or 5 USD)"/>
    <s v="Exception 2b"/>
    <x v="0"/>
    <x v="0"/>
    <s v="Business Non Value Added "/>
    <n v="420"/>
    <n v="420"/>
    <n v="0.08"/>
    <n v="1603.38"/>
    <n v="534.46"/>
    <n v="673419.60000000009"/>
    <n v="224473.2"/>
    <n v="897892.8"/>
    <n v="14964.880000000001"/>
    <n v="249.41466666666668"/>
    <n v="33.255288888888892"/>
    <n v="1.8475160493827163"/>
    <n v="673419.60000000009"/>
    <n v="224473.2"/>
    <n v="897892.8"/>
    <n v="14964.880000000001"/>
    <n v="249.41466666666668"/>
    <n v="33.255288888888892"/>
    <n v="1.8475160493827163"/>
  </r>
  <r>
    <n v="14"/>
    <s v="Step 14"/>
    <x v="2"/>
    <s v="Review &amp; Check – if mismatch due to supplier "/>
    <s v="Exception 2c"/>
    <x v="4"/>
    <x v="3"/>
    <s v="BNV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5"/>
    <s v="Step 15"/>
    <x v="2"/>
    <s v="Amend accruals as per the invoice in CR2- If no mismatch due to supplier  "/>
    <s v="Exception 2d"/>
    <x v="3"/>
    <x v="3"/>
    <s v="BNV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6"/>
    <s v="Step 16"/>
    <x v="2"/>
    <s v="Check for the mismatch amount (Email &amp; CR2)  _x000a_"/>
    <s v="Exception 2e"/>
    <x v="3"/>
    <x v="3"/>
    <s v="BNV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7"/>
    <s v="Step 17"/>
    <x v="2"/>
    <s v="Ask supplier for revised invoice - if mismatch due to supplier is less "/>
    <s v="Exception 2f"/>
    <x v="3"/>
    <x v="3"/>
    <s v="BNV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8"/>
    <s v="Step 18"/>
    <x v="2"/>
    <s v="Share Credit Note -if mismatch due to supplier is more "/>
    <s v="Exception 2g"/>
    <x v="3"/>
    <x v="3"/>
    <s v="BNV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19"/>
    <s v="Step 19"/>
    <x v="1"/>
    <s v="Add the accruals &amp; adjust the Credit Note in CR2 _x000a_(Out of threshold 0f 5% or 5 USD)"/>
    <s v="Exception 2h"/>
    <x v="0"/>
    <x v="0"/>
    <s v="Business Non Value Added "/>
    <n v="240"/>
    <n v="240"/>
    <n v="0.05"/>
    <n v="1002.1125000000001"/>
    <n v="334.03750000000002"/>
    <n v="240507.00000000003"/>
    <n v="80169"/>
    <n v="320676"/>
    <n v="5344.6"/>
    <n v="89.076666666666668"/>
    <n v="11.876888888888889"/>
    <n v="0.65982716049382717"/>
    <n v="240507.00000000003"/>
    <n v="80169"/>
    <n v="320676"/>
    <n v="5344.6"/>
    <n v="89.076666666666668"/>
    <n v="11.876888888888889"/>
    <n v="0.65982716049382717"/>
  </r>
  <r>
    <n v="20"/>
    <s v="Step 20"/>
    <x v="1"/>
    <s v="Check &amp; Validate details of  AP Invoice (Charge type , Currency, Exchange rate has to be same for all charges, Vendor name, Amount, tax rate ,Invoice number, Invoice date"/>
    <s v="Elimination "/>
    <x v="1"/>
    <x v="4"/>
    <s v="Non Value Added "/>
    <n v="35"/>
    <n v="20"/>
    <n v="1"/>
    <n v="20042.25"/>
    <n v="6680.75"/>
    <n v="701478.75"/>
    <n v="233826.25"/>
    <n v="935305"/>
    <n v="15588.416666666666"/>
    <n v="259.80694444444441"/>
    <n v="34.64092592592592"/>
    <n v="1.9244958847736622"/>
    <n v="400845"/>
    <n v="133615"/>
    <n v="534460"/>
    <n v="8907.6666666666661"/>
    <n v="148.46111111111111"/>
    <n v="19.794814814814814"/>
    <n v="1.0997119341563786"/>
  </r>
  <r>
    <n v="21"/>
    <s v="Step 21"/>
    <x v="1"/>
    <s v="Query to CSO for the discrepancy of the information for AP Invoice details "/>
    <s v="Exception 3 "/>
    <x v="1"/>
    <x v="5"/>
    <s v="Non Value Added "/>
    <n v="180"/>
    <n v="120"/>
    <n v="0.05"/>
    <n v="1002.1125000000001"/>
    <n v="334.03750000000002"/>
    <n v="180380.25"/>
    <n v="60126.750000000007"/>
    <n v="240507"/>
    <n v="4008.45"/>
    <n v="66.80749999999999"/>
    <n v="8.9076666666666657"/>
    <n v="0.49487037037037029"/>
    <n v="120253.50000000001"/>
    <n v="40084.5"/>
    <n v="160338"/>
    <n v="2672.3"/>
    <n v="44.538333333333334"/>
    <n v="5.9384444444444444"/>
    <n v="0.32991358024691358"/>
  </r>
  <r>
    <n v="22"/>
    <s v="Step 22"/>
    <x v="1"/>
    <s v="Check for the charges as per charge lines "/>
    <s v="Elimination "/>
    <x v="2"/>
    <x v="4"/>
    <s v="Non Value Added "/>
    <n v="10"/>
    <n v="0"/>
    <n v="1"/>
    <n v="20042.25"/>
    <n v="6680.75"/>
    <n v="200422.5"/>
    <n v="66807.5"/>
    <n v="267230"/>
    <n v="4453.833333333333"/>
    <n v="74.230555555555554"/>
    <n v="9.8974074074074068"/>
    <n v="0.54985596707818929"/>
    <n v="0"/>
    <n v="0"/>
    <n v="0"/>
    <n v="0"/>
    <n v="0"/>
    <n v="0"/>
    <n v="0"/>
  </r>
  <r>
    <n v="23"/>
    <s v="Step 23"/>
    <x v="1"/>
    <s v="Update invoice number , date &amp; request date (Single line charge ), _x000a_upload invoice "/>
    <s v="Elimination "/>
    <x v="1"/>
    <x v="1"/>
    <s v="Non Value Added "/>
    <n v="160"/>
    <n v="100"/>
    <n v="1"/>
    <n v="20042.25"/>
    <n v="6680.75"/>
    <n v="3206760"/>
    <n v="1068920"/>
    <n v="4275680"/>
    <n v="71261.333333333328"/>
    <n v="1187.6888888888889"/>
    <n v="158.35851851851851"/>
    <n v="8.7976954732510286"/>
    <n v="2004225"/>
    <n v="668075"/>
    <n v="2672300"/>
    <n v="44538.333333333336"/>
    <n v="742.30555555555554"/>
    <n v="98.974074074074068"/>
    <n v="5.4985596707818925"/>
  </r>
  <r>
    <n v="24"/>
    <s v="Step 24"/>
    <x v="1"/>
    <s v="Split the charges as per charge line on Invoice copy &amp; update invoice number , date &amp; request date (Multiple Charge line )"/>
    <s v="Elimination "/>
    <x v="1"/>
    <x v="1"/>
    <s v="Non Value Added "/>
    <n v="203"/>
    <n v="150"/>
    <n v="0.25"/>
    <m/>
    <n v="1670.1875"/>
    <n v="0"/>
    <n v="339048.0625"/>
    <n v="339048.0625"/>
    <n v="5650.8010416666666"/>
    <n v="94.180017361111112"/>
    <n v="12.557335648148149"/>
    <n v="0.6976297582304527"/>
    <n v="0"/>
    <n v="250528.125"/>
    <n v="250528.125"/>
    <n v="4175.46875"/>
    <n v="69.591145833333329"/>
    <n v="9.2788194444444443"/>
    <n v="0.51548996913580247"/>
  </r>
  <r>
    <n v="25"/>
    <s v="Step 25"/>
    <x v="1"/>
    <s v="Post AP Invoice in CR2"/>
    <s v="Happy Flow "/>
    <x v="0"/>
    <x v="0"/>
    <s v="Value Added "/>
    <n v="25"/>
    <n v="25"/>
    <n v="1"/>
    <n v="20042.25"/>
    <n v="6680.75"/>
    <n v="501056.25"/>
    <n v="167018.75"/>
    <n v="668075"/>
    <n v="11134.583333333334"/>
    <n v="185.57638888888889"/>
    <n v="24.743518518518517"/>
    <n v="1.3746399176954731"/>
    <n v="501056.25"/>
    <n v="167018.75"/>
    <n v="668075"/>
    <n v="11134.583333333334"/>
    <n v="185.57638888888889"/>
    <n v="24.743518518518517"/>
    <n v="1.3746399176954731"/>
  </r>
  <r>
    <n v="26"/>
    <s v="Step 26"/>
    <x v="1"/>
    <s v="Check interfacing of  AP Invoice in fusion"/>
    <s v="Exception 4a"/>
    <x v="2"/>
    <x v="4"/>
    <s v="Non Value Added "/>
    <n v="20"/>
    <n v="0"/>
    <n v="1"/>
    <n v="20042.25"/>
    <n v="6680.75"/>
    <n v="400845"/>
    <n v="133615"/>
    <n v="534460"/>
    <n v="8907.6666666666661"/>
    <n v="148.46111111111111"/>
    <n v="19.794814814814814"/>
    <n v="1.0997119341563786"/>
    <n v="0"/>
    <n v="0"/>
    <n v="0"/>
    <n v="0"/>
    <n v="0"/>
    <n v="0"/>
    <n v="0"/>
  </r>
  <r>
    <n v="27"/>
    <s v="Step 27"/>
    <x v="1"/>
    <s v="Inform CR2 Product  Team for interface issues "/>
    <s v="Exception 4b"/>
    <x v="1"/>
    <x v="4"/>
    <s v="Non Value Added "/>
    <n v="480"/>
    <n v="200"/>
    <n v="0.02"/>
    <n v="400.84500000000003"/>
    <n v="133.61500000000001"/>
    <n v="192405.6"/>
    <n v="64135.200000000004"/>
    <n v="256540.80000000002"/>
    <n v="4275.68"/>
    <n v="71.26133333333334"/>
    <n v="9.5015111111111121"/>
    <n v="0.52786172839506174"/>
    <n v="80169"/>
    <n v="26723"/>
    <n v="106892"/>
    <n v="1781.5333333333333"/>
    <n v="29.69222222222222"/>
    <n v="3.9589629629629628"/>
    <n v="0.2199423868312757"/>
  </r>
  <r>
    <n v="28"/>
    <s v="Step 28"/>
    <x v="3"/>
    <s v="Resolution of interface issues by CR2 Team "/>
    <s v="Exception 4c"/>
    <x v="3"/>
    <x v="3"/>
    <s v="Non Value Added 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n v="29"/>
    <s v="Step 29"/>
    <x v="1"/>
    <s v="Share email (Supporting Docs) confirmation to CSO &amp; Validation and Payment team"/>
    <s v="Happy Flow "/>
    <x v="0"/>
    <x v="0"/>
    <s v="Value Added "/>
    <n v="15"/>
    <n v="15"/>
    <n v="1"/>
    <n v="20042.25"/>
    <n v="6680.75"/>
    <n v="300633.75"/>
    <n v="100211.25"/>
    <n v="400845"/>
    <n v="6680.75"/>
    <n v="111.34583333333333"/>
    <n v="14.84611111111111"/>
    <n v="0.82478395061728393"/>
    <n v="300633.75"/>
    <n v="100211.25"/>
    <n v="400845"/>
    <n v="6680.75"/>
    <n v="111.34583333333333"/>
    <n v="14.84611111111111"/>
    <n v="0.82478395061728393"/>
  </r>
  <r>
    <n v="30"/>
    <s v="Step 30"/>
    <x v="4"/>
    <s v="Make payment &amp; send Paycargo receipt to GSC AP COS Team "/>
    <s v="Happy Flow "/>
    <x v="0"/>
    <x v="3"/>
    <s v="Value Added 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CBF7E-8975-4E86-A039-E75C4CBA1F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0" firstDataRow="1" firstDataCol="1" rowPageCount="1" colPageCount="1"/>
  <pivotFields count="28">
    <pivotField showAll="0"/>
    <pivotField showAll="0"/>
    <pivotField axis="axisPage" multipleItemSelectionAllowed="1" showAll="0">
      <items count="6">
        <item h="1" x="2"/>
        <item x="1"/>
        <item h="1" x="4"/>
        <item h="1" x="3"/>
        <item h="1" x="0"/>
        <item t="default"/>
      </items>
    </pivotField>
    <pivotField showAll="0"/>
    <pivotField showAll="0"/>
    <pivotField axis="axisRow" showAll="0">
      <items count="9">
        <item m="1" x="6"/>
        <item x="2"/>
        <item x="1"/>
        <item m="1" x="7"/>
        <item x="0"/>
        <item m="1"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5"/>
  </rowFields>
  <rowItems count="4">
    <i>
      <x v="1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AS IS FTEs" fld="19" baseField="0" baseItem="0" numFmtId="164"/>
    <dataField name="Sum of Target FTEs" fld="26" baseField="5" baseItem="1"/>
    <dataField name="Saving Per Activity" fld="27" baseField="5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5E1C7-0859-42F5-8C7E-35722001EE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1" firstDataRow="2" firstDataCol="1" rowPageCount="1" colPageCount="1"/>
  <pivotFields count="28">
    <pivotField showAll="0"/>
    <pivotField showAll="0"/>
    <pivotField axis="axisPage" multipleItemSelectionAllowed="1" showAll="0">
      <items count="6">
        <item h="1" x="2"/>
        <item x="1"/>
        <item h="1" x="4"/>
        <item h="1" x="3"/>
        <item h="1" x="0"/>
        <item t="default"/>
      </items>
    </pivotField>
    <pivotField showAll="0"/>
    <pivotField showAll="0"/>
    <pivotField axis="axisCol" multipleItemSelectionAllowed="1" showAll="0">
      <items count="9">
        <item m="1" x="6"/>
        <item x="2"/>
        <item x="1"/>
        <item m="1" x="7"/>
        <item h="1" x="0"/>
        <item h="1" m="1" x="5"/>
        <item h="1" x="3"/>
        <item h="1" x="4"/>
        <item t="default"/>
      </items>
    </pivotField>
    <pivotField axis="axisRow" showAll="0">
      <items count="9">
        <item n="CR2 Enhancement " m="1" x="7"/>
        <item x="4"/>
        <item x="2"/>
        <item x="5"/>
        <item m="1" x="6"/>
        <item x="0"/>
        <item n="CR2 Enhancement 2"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5">
    <i>
      <x v="1"/>
    </i>
    <i>
      <x v="2"/>
    </i>
    <i>
      <x v="3"/>
    </i>
    <i>
      <x v="6"/>
    </i>
    <i t="grand">
      <x/>
    </i>
  </rowItems>
  <colFields count="1">
    <field x="5"/>
  </colFields>
  <colItems count="3">
    <i>
      <x v="1"/>
    </i>
    <i>
      <x v="2"/>
    </i>
    <i t="grand">
      <x/>
    </i>
  </colItems>
  <pageFields count="1">
    <pageField fld="2" hier="-1"/>
  </pageFields>
  <dataFields count="1">
    <dataField name="Saving Per Activity" fld="27" baseField="5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1C81-3F83-4A9E-B7EB-D35CEB0AE185}">
  <dimension ref="A2:D19"/>
  <sheetViews>
    <sheetView workbookViewId="0">
      <selection activeCell="C18" sqref="C18"/>
    </sheetView>
  </sheetViews>
  <sheetFormatPr defaultRowHeight="14.5" x14ac:dyDescent="0.35"/>
  <cols>
    <col min="1" max="1" width="13.54296875" bestFit="1" customWidth="1"/>
    <col min="2" max="2" width="15.453125" bestFit="1" customWidth="1"/>
    <col min="3" max="3" width="16.453125" bestFit="1" customWidth="1"/>
    <col min="4" max="4" width="16.1796875" bestFit="1" customWidth="1"/>
    <col min="5" max="5" width="16.453125" bestFit="1" customWidth="1"/>
    <col min="6" max="6" width="24.453125" customWidth="1"/>
    <col min="7" max="7" width="16.453125" bestFit="1" customWidth="1"/>
    <col min="8" max="8" width="17.7265625" bestFit="1" customWidth="1"/>
    <col min="9" max="9" width="20.81640625" bestFit="1" customWidth="1"/>
    <col min="10" max="16" width="15.453125" bestFit="1" customWidth="1"/>
    <col min="17" max="17" width="10.453125" bestFit="1" customWidth="1"/>
  </cols>
  <sheetData>
    <row r="2" spans="1:4" x14ac:dyDescent="0.35">
      <c r="A2" s="63" t="s">
        <v>3</v>
      </c>
      <c r="B2" t="s">
        <v>24</v>
      </c>
    </row>
    <row r="4" spans="1:4" x14ac:dyDescent="0.35">
      <c r="A4" s="63" t="s">
        <v>132</v>
      </c>
      <c r="B4" t="s">
        <v>133</v>
      </c>
      <c r="C4" t="s">
        <v>134</v>
      </c>
      <c r="D4" t="s">
        <v>135</v>
      </c>
    </row>
    <row r="5" spans="1:4" x14ac:dyDescent="0.35">
      <c r="A5" s="64" t="s">
        <v>139</v>
      </c>
      <c r="B5" s="65">
        <v>10.42526913580247</v>
      </c>
      <c r="C5" s="65">
        <v>0</v>
      </c>
      <c r="D5" s="65">
        <v>10.42526913580247</v>
      </c>
    </row>
    <row r="6" spans="1:4" x14ac:dyDescent="0.35">
      <c r="A6" s="64" t="s">
        <v>138</v>
      </c>
      <c r="B6" s="65">
        <v>16.401516177983535</v>
      </c>
      <c r="C6" s="65">
        <v>8.8073179526748966</v>
      </c>
      <c r="D6" s="65">
        <v>7.594198225308638</v>
      </c>
    </row>
    <row r="7" spans="1:4" x14ac:dyDescent="0.35">
      <c r="A7" s="64" t="s">
        <v>137</v>
      </c>
      <c r="B7" s="65">
        <v>8.2808308641975312</v>
      </c>
      <c r="C7" s="65">
        <v>8.2808308641975312</v>
      </c>
      <c r="D7" s="65">
        <v>0</v>
      </c>
    </row>
    <row r="8" spans="1:4" x14ac:dyDescent="0.35">
      <c r="A8" s="64" t="s">
        <v>131</v>
      </c>
      <c r="B8" s="65">
        <v>35.107616177983537</v>
      </c>
      <c r="C8" s="65">
        <v>17.088148816872426</v>
      </c>
      <c r="D8" s="65">
        <v>18.019467361111111</v>
      </c>
    </row>
    <row r="11" spans="1:4" x14ac:dyDescent="0.35">
      <c r="A11" s="63" t="s">
        <v>3</v>
      </c>
      <c r="B11" t="s">
        <v>24</v>
      </c>
    </row>
    <row r="13" spans="1:4" x14ac:dyDescent="0.35">
      <c r="A13" s="63" t="s">
        <v>135</v>
      </c>
      <c r="B13" s="63" t="s">
        <v>144</v>
      </c>
    </row>
    <row r="14" spans="1:4" x14ac:dyDescent="0.35">
      <c r="A14" s="63" t="s">
        <v>132</v>
      </c>
      <c r="B14" t="s">
        <v>139</v>
      </c>
      <c r="C14" t="s">
        <v>138</v>
      </c>
      <c r="D14" t="s">
        <v>131</v>
      </c>
    </row>
    <row r="15" spans="1:4" x14ac:dyDescent="0.35">
      <c r="A15" s="64" t="s">
        <v>142</v>
      </c>
      <c r="B15" s="65">
        <v>1.6495679012345679</v>
      </c>
      <c r="C15" s="65">
        <v>1.1327032921810696</v>
      </c>
      <c r="D15" s="65">
        <v>2.782271193415637</v>
      </c>
    </row>
    <row r="16" spans="1:4" x14ac:dyDescent="0.35">
      <c r="A16" s="64" t="s">
        <v>141</v>
      </c>
      <c r="B16" s="65">
        <v>6.5982716049382715</v>
      </c>
      <c r="C16" s="65">
        <v>0</v>
      </c>
      <c r="D16" s="65">
        <v>6.5982716049382715</v>
      </c>
    </row>
    <row r="17" spans="1:4" x14ac:dyDescent="0.35">
      <c r="A17" s="64" t="s">
        <v>143</v>
      </c>
      <c r="B17" s="65">
        <v>0</v>
      </c>
      <c r="C17" s="65">
        <v>0.16495679012345671</v>
      </c>
      <c r="D17" s="65">
        <v>0.16495679012345671</v>
      </c>
    </row>
    <row r="18" spans="1:4" x14ac:dyDescent="0.35">
      <c r="A18" s="64" t="s">
        <v>247</v>
      </c>
      <c r="B18" s="65">
        <v>2.1774296296296298</v>
      </c>
      <c r="C18" s="65">
        <v>6.2965381430041161</v>
      </c>
      <c r="D18" s="65">
        <v>8.4739677726337455</v>
      </c>
    </row>
    <row r="19" spans="1:4" x14ac:dyDescent="0.35">
      <c r="A19" s="64" t="s">
        <v>131</v>
      </c>
      <c r="B19" s="65">
        <v>10.42526913580247</v>
      </c>
      <c r="C19" s="65">
        <v>7.5941982253086415</v>
      </c>
      <c r="D19" s="65">
        <v>18.019467361111108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3A9A-58BF-48DD-98C8-29CACBCF1955}">
  <dimension ref="B1:AF45"/>
  <sheetViews>
    <sheetView showGridLines="0" topLeftCell="H8" zoomScale="87" zoomScaleNormal="87" workbookViewId="0">
      <selection activeCell="H24" sqref="H24"/>
    </sheetView>
  </sheetViews>
  <sheetFormatPr defaultColWidth="8.81640625" defaultRowHeight="14.5" x14ac:dyDescent="0.35"/>
  <cols>
    <col min="1" max="1" width="2.81640625" customWidth="1"/>
    <col min="2" max="2" width="7.7265625" customWidth="1"/>
    <col min="3" max="3" width="4.1796875" style="3" customWidth="1"/>
    <col min="4" max="4" width="21.54296875" style="3" hidden="1" customWidth="1"/>
    <col min="5" max="5" width="11.81640625" style="6" hidden="1" customWidth="1"/>
    <col min="6" max="6" width="44.1796875" style="2" customWidth="1"/>
    <col min="7" max="7" width="14.54296875" style="6" customWidth="1"/>
    <col min="8" max="8" width="15.453125" style="6" bestFit="1" customWidth="1"/>
    <col min="9" max="9" width="30.54296875" style="6" bestFit="1" customWidth="1"/>
    <col min="10" max="10" width="16.1796875" style="6" bestFit="1" customWidth="1"/>
    <col min="11" max="11" width="13.453125" style="6" bestFit="1" customWidth="1"/>
    <col min="12" max="12" width="14.26953125" style="6" bestFit="1" customWidth="1"/>
    <col min="13" max="13" width="11.54296875" style="6" bestFit="1" customWidth="1"/>
    <col min="14" max="14" width="12.1796875" style="6" bestFit="1" customWidth="1"/>
    <col min="15" max="16" width="14.453125" style="6" customWidth="1"/>
    <col min="17" max="18" width="12.1796875" style="6" bestFit="1" customWidth="1"/>
    <col min="19" max="19" width="14.26953125" style="6" bestFit="1" customWidth="1"/>
    <col min="20" max="20" width="13.81640625" style="6" bestFit="1" customWidth="1"/>
    <col min="21" max="26" width="14.453125" style="6" customWidth="1"/>
    <col min="27" max="27" width="10.1796875" style="6" bestFit="1" customWidth="1"/>
    <col min="28" max="28" width="17.1796875" style="6" bestFit="1" customWidth="1"/>
    <col min="29" max="29" width="14.453125" style="6" customWidth="1"/>
    <col min="30" max="30" width="22.453125" style="3" customWidth="1"/>
    <col min="31" max="31" width="17.7265625" style="3" customWidth="1"/>
  </cols>
  <sheetData>
    <row r="1" spans="2:31" ht="15" thickBot="1" x14ac:dyDescent="0.4"/>
    <row r="2" spans="2:31" x14ac:dyDescent="0.35">
      <c r="B2" s="42"/>
      <c r="C2" s="43"/>
      <c r="D2" s="43"/>
      <c r="E2" s="44"/>
      <c r="F2" s="45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105"/>
    </row>
    <row r="3" spans="2:31" ht="29" x14ac:dyDescent="0.35">
      <c r="B3" s="47"/>
      <c r="F3" s="69"/>
      <c r="G3" s="5" t="s">
        <v>279</v>
      </c>
      <c r="H3" s="5" t="s">
        <v>268</v>
      </c>
      <c r="I3" s="69"/>
      <c r="J3" s="69"/>
      <c r="AB3"/>
      <c r="AC3" s="102"/>
      <c r="AD3"/>
      <c r="AE3"/>
    </row>
    <row r="4" spans="2:31" x14ac:dyDescent="0.35">
      <c r="B4" s="47"/>
      <c r="F4" s="70"/>
      <c r="G4" s="40">
        <v>1</v>
      </c>
      <c r="H4" s="40">
        <v>1</v>
      </c>
      <c r="I4" s="70" t="s">
        <v>296</v>
      </c>
      <c r="J4" s="69">
        <f>8*7.5*60*60</f>
        <v>216000</v>
      </c>
      <c r="AB4"/>
      <c r="AC4" s="102"/>
      <c r="AD4"/>
      <c r="AE4"/>
    </row>
    <row r="5" spans="2:31" x14ac:dyDescent="0.35">
      <c r="B5" s="47"/>
      <c r="F5" s="69"/>
      <c r="G5" s="120">
        <v>225</v>
      </c>
      <c r="H5" s="66">
        <f>G5</f>
        <v>225</v>
      </c>
      <c r="I5" s="69" t="s">
        <v>297</v>
      </c>
      <c r="J5" s="69">
        <f>H5*(50+55)*60</f>
        <v>1417500</v>
      </c>
      <c r="AB5"/>
      <c r="AC5" s="102"/>
      <c r="AD5"/>
      <c r="AE5"/>
    </row>
    <row r="6" spans="2:31" x14ac:dyDescent="0.35">
      <c r="B6" s="47"/>
      <c r="F6" s="69"/>
      <c r="J6" s="69">
        <f>J5/J4</f>
        <v>6.5625</v>
      </c>
      <c r="K6" s="100"/>
      <c r="M6" s="51"/>
      <c r="AC6" s="103"/>
      <c r="AD6"/>
      <c r="AE6"/>
    </row>
    <row r="7" spans="2:31" x14ac:dyDescent="0.35">
      <c r="B7" s="47"/>
      <c r="AC7" s="101"/>
    </row>
    <row r="8" spans="2:31" x14ac:dyDescent="0.35">
      <c r="B8" s="47"/>
      <c r="AC8" s="101"/>
    </row>
    <row r="9" spans="2:31" x14ac:dyDescent="0.35">
      <c r="B9" s="47"/>
      <c r="J9" s="109"/>
      <c r="K9" s="109"/>
      <c r="AC9" s="101"/>
    </row>
    <row r="10" spans="2:31" ht="29" x14ac:dyDescent="0.35">
      <c r="B10" s="47"/>
      <c r="C10" s="5" t="s">
        <v>127</v>
      </c>
      <c r="D10" s="50" t="s">
        <v>265</v>
      </c>
      <c r="E10" s="50" t="s">
        <v>3</v>
      </c>
      <c r="F10" s="5" t="s">
        <v>273</v>
      </c>
      <c r="G10" s="5" t="s">
        <v>260</v>
      </c>
      <c r="H10" s="5" t="s">
        <v>1</v>
      </c>
      <c r="I10" s="5" t="s">
        <v>136</v>
      </c>
      <c r="J10" s="5" t="s">
        <v>140</v>
      </c>
      <c r="K10" s="5" t="s">
        <v>70</v>
      </c>
      <c r="L10" s="5" t="s">
        <v>109</v>
      </c>
      <c r="M10" s="5" t="s">
        <v>110</v>
      </c>
      <c r="N10" s="5" t="s">
        <v>105</v>
      </c>
      <c r="O10" s="5" t="s">
        <v>271</v>
      </c>
      <c r="P10" s="5" t="s">
        <v>272</v>
      </c>
      <c r="Q10" s="48" t="s">
        <v>275</v>
      </c>
      <c r="R10" s="48" t="s">
        <v>274</v>
      </c>
      <c r="S10" s="48" t="s">
        <v>116</v>
      </c>
      <c r="T10" s="48" t="s">
        <v>117</v>
      </c>
      <c r="U10" s="48" t="s">
        <v>118</v>
      </c>
      <c r="V10" s="48" t="s">
        <v>119</v>
      </c>
      <c r="W10" s="48" t="s">
        <v>269</v>
      </c>
      <c r="X10" s="48" t="s">
        <v>123</v>
      </c>
      <c r="Y10" s="48" t="s">
        <v>124</v>
      </c>
      <c r="Z10" s="48" t="s">
        <v>125</v>
      </c>
      <c r="AA10" s="48" t="s">
        <v>126</v>
      </c>
      <c r="AB10" s="48" t="s">
        <v>278</v>
      </c>
      <c r="AC10" s="102"/>
      <c r="AD10"/>
      <c r="AE10"/>
    </row>
    <row r="11" spans="2:31" ht="43.5" x14ac:dyDescent="0.35">
      <c r="B11" s="47"/>
      <c r="C11" s="82">
        <v>1</v>
      </c>
      <c r="D11" s="82" t="s">
        <v>250</v>
      </c>
      <c r="E11" s="41" t="s">
        <v>262</v>
      </c>
      <c r="F11" s="83" t="s">
        <v>249</v>
      </c>
      <c r="G11" s="106"/>
      <c r="H11" s="41" t="s">
        <v>43</v>
      </c>
      <c r="I11" s="41" t="s">
        <v>137</v>
      </c>
      <c r="J11" s="41" t="s">
        <v>146</v>
      </c>
      <c r="K11" s="41"/>
      <c r="L11" s="41" t="s">
        <v>22</v>
      </c>
      <c r="M11" s="41" t="s">
        <v>22</v>
      </c>
      <c r="N11" s="41" t="s">
        <v>22</v>
      </c>
      <c r="O11" s="41"/>
      <c r="P11" s="41"/>
      <c r="Q11" s="41" t="s">
        <v>22</v>
      </c>
      <c r="R11" s="41" t="s">
        <v>22</v>
      </c>
      <c r="S11" s="41" t="s">
        <v>22</v>
      </c>
      <c r="T11" s="41" t="s">
        <v>22</v>
      </c>
      <c r="U11" s="41" t="s">
        <v>22</v>
      </c>
      <c r="V11" s="41" t="s">
        <v>22</v>
      </c>
      <c r="W11" s="41" t="s">
        <v>22</v>
      </c>
      <c r="X11" s="41" t="s">
        <v>22</v>
      </c>
      <c r="Y11" s="41" t="s">
        <v>22</v>
      </c>
      <c r="Z11" s="41" t="s">
        <v>22</v>
      </c>
      <c r="AA11" s="41" t="s">
        <v>22</v>
      </c>
      <c r="AB11" s="9">
        <v>0</v>
      </c>
      <c r="AC11" s="102"/>
      <c r="AD11"/>
      <c r="AE11"/>
    </row>
    <row r="12" spans="2:31" ht="29" x14ac:dyDescent="0.35">
      <c r="B12" s="47"/>
      <c r="C12" s="82">
        <v>2</v>
      </c>
      <c r="D12" s="82" t="s">
        <v>251</v>
      </c>
      <c r="E12" s="41" t="s">
        <v>261</v>
      </c>
      <c r="F12" s="83" t="s">
        <v>294</v>
      </c>
      <c r="G12" s="106">
        <v>180</v>
      </c>
      <c r="H12" s="82" t="s">
        <v>264</v>
      </c>
      <c r="I12" s="41" t="s">
        <v>137</v>
      </c>
      <c r="J12" s="41" t="s">
        <v>267</v>
      </c>
      <c r="K12" s="41"/>
      <c r="L12" s="41">
        <f t="shared" ref="L12:L22" si="0">G12</f>
        <v>180</v>
      </c>
      <c r="M12" s="41">
        <v>120</v>
      </c>
      <c r="N12" s="7">
        <v>1</v>
      </c>
      <c r="O12" s="82">
        <f>N12*L12</f>
        <v>180</v>
      </c>
      <c r="P12" s="82">
        <f>N12*M12</f>
        <v>120</v>
      </c>
      <c r="Q12" s="66">
        <f>$H$5*N12</f>
        <v>225</v>
      </c>
      <c r="R12" s="66">
        <f t="shared" ref="R12:R22" si="1">Q12*L12</f>
        <v>40500</v>
      </c>
      <c r="S12" s="66">
        <f>R12/60</f>
        <v>675</v>
      </c>
      <c r="T12" s="66">
        <f>S12/60</f>
        <v>11.25</v>
      </c>
      <c r="U12" s="66">
        <f>T12/7.5</f>
        <v>1.5</v>
      </c>
      <c r="V12" s="66">
        <f>U12/18</f>
        <v>8.3333333333333329E-2</v>
      </c>
      <c r="W12" s="66">
        <f t="shared" ref="W12:W22" si="2">Q12*M12</f>
        <v>27000</v>
      </c>
      <c r="X12" s="66">
        <f>W12/60</f>
        <v>450</v>
      </c>
      <c r="Y12" s="66">
        <f>X12/60</f>
        <v>7.5</v>
      </c>
      <c r="Z12" s="66">
        <f>Y12/7.5</f>
        <v>1</v>
      </c>
      <c r="AA12" s="96">
        <f>Z12/18</f>
        <v>5.5555555555555552E-2</v>
      </c>
      <c r="AB12" s="107">
        <f>V12-AA12</f>
        <v>2.7777777777777776E-2</v>
      </c>
      <c r="AC12" s="102"/>
      <c r="AD12"/>
      <c r="AE12"/>
    </row>
    <row r="13" spans="2:31" x14ac:dyDescent="0.35">
      <c r="B13" s="47"/>
      <c r="C13" s="82">
        <v>3</v>
      </c>
      <c r="D13" s="82" t="s">
        <v>252</v>
      </c>
      <c r="E13" s="41" t="s">
        <v>261</v>
      </c>
      <c r="F13" s="83" t="s">
        <v>295</v>
      </c>
      <c r="G13" s="106">
        <v>180</v>
      </c>
      <c r="H13" s="82" t="s">
        <v>264</v>
      </c>
      <c r="I13" s="41" t="s">
        <v>137</v>
      </c>
      <c r="J13" s="82" t="s">
        <v>267</v>
      </c>
      <c r="K13" s="41"/>
      <c r="L13" s="41">
        <f t="shared" si="0"/>
        <v>180</v>
      </c>
      <c r="M13" s="82">
        <v>60</v>
      </c>
      <c r="N13" s="7">
        <v>1</v>
      </c>
      <c r="O13" s="82">
        <f t="shared" ref="O13:O22" si="3">N13*L13</f>
        <v>180</v>
      </c>
      <c r="P13" s="82">
        <f t="shared" ref="P13:P22" si="4">N13*M13</f>
        <v>60</v>
      </c>
      <c r="Q13" s="66">
        <f t="shared" ref="Q13:Q22" si="5">$H$5*N13</f>
        <v>225</v>
      </c>
      <c r="R13" s="66">
        <f t="shared" si="1"/>
        <v>40500</v>
      </c>
      <c r="S13" s="66">
        <f t="shared" ref="S13:T22" si="6">R13/60</f>
        <v>675</v>
      </c>
      <c r="T13" s="66">
        <f t="shared" si="6"/>
        <v>11.25</v>
      </c>
      <c r="U13" s="66">
        <f t="shared" ref="U13:U22" si="7">T13/7.5</f>
        <v>1.5</v>
      </c>
      <c r="V13" s="66">
        <f t="shared" ref="V13:V22" si="8">U13/18</f>
        <v>8.3333333333333329E-2</v>
      </c>
      <c r="W13" s="66">
        <f t="shared" si="2"/>
        <v>13500</v>
      </c>
      <c r="X13" s="66">
        <f t="shared" ref="X13:Y22" si="9">W13/60</f>
        <v>225</v>
      </c>
      <c r="Y13" s="66">
        <f t="shared" si="9"/>
        <v>3.75</v>
      </c>
      <c r="Z13" s="66">
        <f t="shared" ref="Z13:Z22" si="10">Y13/7.5</f>
        <v>0.5</v>
      </c>
      <c r="AA13" s="96">
        <f t="shared" ref="AA13:AA22" si="11">Z13/18</f>
        <v>2.7777777777777776E-2</v>
      </c>
      <c r="AB13" s="107">
        <f t="shared" ref="AB13:AB22" si="12">V13-AA13</f>
        <v>5.5555555555555552E-2</v>
      </c>
      <c r="AC13" s="102"/>
      <c r="AD13"/>
      <c r="AE13"/>
    </row>
    <row r="14" spans="2:31" x14ac:dyDescent="0.35">
      <c r="B14" s="47"/>
      <c r="C14" s="82">
        <v>4</v>
      </c>
      <c r="D14" s="82" t="s">
        <v>253</v>
      </c>
      <c r="E14" s="41" t="s">
        <v>261</v>
      </c>
      <c r="F14" s="83" t="s">
        <v>284</v>
      </c>
      <c r="G14" s="106">
        <v>180</v>
      </c>
      <c r="H14" s="82" t="s">
        <v>43</v>
      </c>
      <c r="I14" s="41" t="s">
        <v>137</v>
      </c>
      <c r="J14" s="82" t="s">
        <v>267</v>
      </c>
      <c r="K14" s="41"/>
      <c r="L14" s="41">
        <f t="shared" si="0"/>
        <v>180</v>
      </c>
      <c r="M14" s="82">
        <v>60</v>
      </c>
      <c r="N14" s="7">
        <v>1</v>
      </c>
      <c r="O14" s="82">
        <f t="shared" si="3"/>
        <v>180</v>
      </c>
      <c r="P14" s="82">
        <f t="shared" si="4"/>
        <v>60</v>
      </c>
      <c r="Q14" s="66">
        <f t="shared" si="5"/>
        <v>225</v>
      </c>
      <c r="R14" s="66">
        <f t="shared" si="1"/>
        <v>40500</v>
      </c>
      <c r="S14" s="66">
        <f t="shared" si="6"/>
        <v>675</v>
      </c>
      <c r="T14" s="66">
        <f t="shared" si="6"/>
        <v>11.25</v>
      </c>
      <c r="U14" s="66">
        <f t="shared" si="7"/>
        <v>1.5</v>
      </c>
      <c r="V14" s="66">
        <f t="shared" si="8"/>
        <v>8.3333333333333329E-2</v>
      </c>
      <c r="W14" s="66">
        <f t="shared" si="2"/>
        <v>13500</v>
      </c>
      <c r="X14" s="66">
        <f t="shared" si="9"/>
        <v>225</v>
      </c>
      <c r="Y14" s="66">
        <f t="shared" si="9"/>
        <v>3.75</v>
      </c>
      <c r="Z14" s="66">
        <f t="shared" si="10"/>
        <v>0.5</v>
      </c>
      <c r="AA14" s="96">
        <f t="shared" si="11"/>
        <v>2.7777777777777776E-2</v>
      </c>
      <c r="AB14" s="107">
        <f t="shared" si="12"/>
        <v>5.5555555555555552E-2</v>
      </c>
      <c r="AC14" s="102"/>
      <c r="AD14"/>
      <c r="AE14"/>
    </row>
    <row r="15" spans="2:31" x14ac:dyDescent="0.35">
      <c r="B15" s="47"/>
      <c r="C15" s="82">
        <v>5</v>
      </c>
      <c r="D15" s="82" t="s">
        <v>254</v>
      </c>
      <c r="E15" s="41" t="s">
        <v>261</v>
      </c>
      <c r="F15" s="110" t="s">
        <v>285</v>
      </c>
      <c r="G15" s="106">
        <v>180</v>
      </c>
      <c r="H15" s="82" t="s">
        <v>43</v>
      </c>
      <c r="I15" s="41" t="s">
        <v>137</v>
      </c>
      <c r="J15" s="82" t="s">
        <v>267</v>
      </c>
      <c r="K15" s="41"/>
      <c r="L15" s="41">
        <f t="shared" si="0"/>
        <v>180</v>
      </c>
      <c r="M15" s="82">
        <v>60</v>
      </c>
      <c r="N15" s="7">
        <v>1</v>
      </c>
      <c r="O15" s="82">
        <f t="shared" si="3"/>
        <v>180</v>
      </c>
      <c r="P15" s="82">
        <f t="shared" si="4"/>
        <v>60</v>
      </c>
      <c r="Q15" s="66">
        <f t="shared" si="5"/>
        <v>225</v>
      </c>
      <c r="R15" s="66">
        <f t="shared" si="1"/>
        <v>40500</v>
      </c>
      <c r="S15" s="66">
        <f t="shared" si="6"/>
        <v>675</v>
      </c>
      <c r="T15" s="66">
        <f t="shared" si="6"/>
        <v>11.25</v>
      </c>
      <c r="U15" s="66">
        <f t="shared" si="7"/>
        <v>1.5</v>
      </c>
      <c r="V15" s="66">
        <f t="shared" si="8"/>
        <v>8.3333333333333329E-2</v>
      </c>
      <c r="W15" s="66">
        <f t="shared" si="2"/>
        <v>13500</v>
      </c>
      <c r="X15" s="66">
        <f t="shared" si="9"/>
        <v>225</v>
      </c>
      <c r="Y15" s="66">
        <f t="shared" si="9"/>
        <v>3.75</v>
      </c>
      <c r="Z15" s="66">
        <f t="shared" si="10"/>
        <v>0.5</v>
      </c>
      <c r="AA15" s="96">
        <f t="shared" si="11"/>
        <v>2.7777777777777776E-2</v>
      </c>
      <c r="AB15" s="107">
        <f t="shared" si="12"/>
        <v>5.5555555555555552E-2</v>
      </c>
      <c r="AC15" s="102"/>
      <c r="AD15"/>
      <c r="AE15"/>
    </row>
    <row r="16" spans="2:31" x14ac:dyDescent="0.35">
      <c r="B16" s="47"/>
      <c r="C16" s="82">
        <v>6</v>
      </c>
      <c r="D16" s="82" t="s">
        <v>255</v>
      </c>
      <c r="E16" s="41" t="s">
        <v>261</v>
      </c>
      <c r="F16" s="110" t="s">
        <v>286</v>
      </c>
      <c r="G16" s="106">
        <v>300</v>
      </c>
      <c r="H16" s="82" t="s">
        <v>43</v>
      </c>
      <c r="I16" s="41" t="s">
        <v>137</v>
      </c>
      <c r="J16" s="82" t="s">
        <v>267</v>
      </c>
      <c r="K16" s="41"/>
      <c r="L16" s="41">
        <f t="shared" si="0"/>
        <v>300</v>
      </c>
      <c r="M16" s="82">
        <v>90</v>
      </c>
      <c r="N16" s="7">
        <v>1</v>
      </c>
      <c r="O16" s="82">
        <f t="shared" si="3"/>
        <v>300</v>
      </c>
      <c r="P16" s="82">
        <f t="shared" si="4"/>
        <v>90</v>
      </c>
      <c r="Q16" s="66">
        <f t="shared" si="5"/>
        <v>225</v>
      </c>
      <c r="R16" s="66">
        <f t="shared" si="1"/>
        <v>67500</v>
      </c>
      <c r="S16" s="66">
        <f t="shared" si="6"/>
        <v>1125</v>
      </c>
      <c r="T16" s="66">
        <f t="shared" si="6"/>
        <v>18.75</v>
      </c>
      <c r="U16" s="66">
        <f t="shared" si="7"/>
        <v>2.5</v>
      </c>
      <c r="V16" s="66">
        <f t="shared" si="8"/>
        <v>0.1388888888888889</v>
      </c>
      <c r="W16" s="66">
        <f t="shared" si="2"/>
        <v>20250</v>
      </c>
      <c r="X16" s="66">
        <f t="shared" si="9"/>
        <v>337.5</v>
      </c>
      <c r="Y16" s="66">
        <f t="shared" si="9"/>
        <v>5.625</v>
      </c>
      <c r="Z16" s="66">
        <f t="shared" si="10"/>
        <v>0.75</v>
      </c>
      <c r="AA16" s="96">
        <f t="shared" si="11"/>
        <v>4.1666666666666664E-2</v>
      </c>
      <c r="AB16" s="107">
        <f t="shared" si="12"/>
        <v>9.7222222222222238E-2</v>
      </c>
      <c r="AC16" s="102"/>
      <c r="AD16"/>
      <c r="AE16"/>
    </row>
    <row r="17" spans="2:32" x14ac:dyDescent="0.35">
      <c r="B17" s="47"/>
      <c r="C17" s="82">
        <v>7</v>
      </c>
      <c r="D17" s="82" t="s">
        <v>256</v>
      </c>
      <c r="E17" s="41" t="s">
        <v>261</v>
      </c>
      <c r="F17" s="111" t="s">
        <v>287</v>
      </c>
      <c r="G17" s="106">
        <v>600</v>
      </c>
      <c r="H17" s="82" t="s">
        <v>302</v>
      </c>
      <c r="I17" s="41" t="s">
        <v>137</v>
      </c>
      <c r="J17" s="82" t="s">
        <v>267</v>
      </c>
      <c r="K17" s="41"/>
      <c r="L17" s="41">
        <f t="shared" si="0"/>
        <v>600</v>
      </c>
      <c r="M17" s="82">
        <v>180</v>
      </c>
      <c r="N17" s="7">
        <v>0.3</v>
      </c>
      <c r="O17" s="82">
        <f t="shared" si="3"/>
        <v>180</v>
      </c>
      <c r="P17" s="82">
        <f t="shared" si="4"/>
        <v>54</v>
      </c>
      <c r="Q17" s="66">
        <v>225</v>
      </c>
      <c r="R17" s="66">
        <f t="shared" si="1"/>
        <v>135000</v>
      </c>
      <c r="S17" s="66">
        <f t="shared" si="6"/>
        <v>2250</v>
      </c>
      <c r="T17" s="66">
        <f t="shared" si="6"/>
        <v>37.5</v>
      </c>
      <c r="U17" s="66">
        <f t="shared" si="7"/>
        <v>5</v>
      </c>
      <c r="V17" s="66">
        <f t="shared" si="8"/>
        <v>0.27777777777777779</v>
      </c>
      <c r="W17" s="66">
        <f t="shared" si="2"/>
        <v>40500</v>
      </c>
      <c r="X17" s="66">
        <f t="shared" si="9"/>
        <v>675</v>
      </c>
      <c r="Y17" s="66">
        <f t="shared" si="9"/>
        <v>11.25</v>
      </c>
      <c r="Z17" s="66">
        <f t="shared" si="10"/>
        <v>1.5</v>
      </c>
      <c r="AA17" s="96">
        <f t="shared" si="11"/>
        <v>8.3333333333333329E-2</v>
      </c>
      <c r="AB17" s="107">
        <f t="shared" si="12"/>
        <v>0.19444444444444448</v>
      </c>
      <c r="AC17" s="102"/>
      <c r="AD17"/>
      <c r="AE17"/>
    </row>
    <row r="18" spans="2:32" ht="13" customHeight="1" x14ac:dyDescent="0.35">
      <c r="B18" s="47"/>
      <c r="C18" s="82">
        <v>8</v>
      </c>
      <c r="D18" s="82" t="s">
        <v>257</v>
      </c>
      <c r="E18" s="41" t="s">
        <v>262</v>
      </c>
      <c r="F18" s="111" t="s">
        <v>288</v>
      </c>
      <c r="G18" s="41">
        <v>300</v>
      </c>
      <c r="H18" s="82" t="s">
        <v>43</v>
      </c>
      <c r="I18" s="41" t="s">
        <v>137</v>
      </c>
      <c r="J18" s="82" t="s">
        <v>267</v>
      </c>
      <c r="K18" s="41"/>
      <c r="L18" s="41">
        <f t="shared" si="0"/>
        <v>300</v>
      </c>
      <c r="M18" s="41">
        <v>150</v>
      </c>
      <c r="N18" s="40">
        <v>1</v>
      </c>
      <c r="O18" s="82">
        <f t="shared" si="3"/>
        <v>300</v>
      </c>
      <c r="P18" s="82">
        <f t="shared" si="4"/>
        <v>150</v>
      </c>
      <c r="Q18" s="66">
        <f t="shared" si="5"/>
        <v>225</v>
      </c>
      <c r="R18" s="66">
        <f t="shared" si="1"/>
        <v>67500</v>
      </c>
      <c r="S18" s="66">
        <f t="shared" si="6"/>
        <v>1125</v>
      </c>
      <c r="T18" s="66">
        <f t="shared" si="6"/>
        <v>18.75</v>
      </c>
      <c r="U18" s="66">
        <f t="shared" si="7"/>
        <v>2.5</v>
      </c>
      <c r="V18" s="66">
        <f t="shared" si="8"/>
        <v>0.1388888888888889</v>
      </c>
      <c r="W18" s="66">
        <f t="shared" si="2"/>
        <v>33750</v>
      </c>
      <c r="X18" s="66">
        <f t="shared" si="9"/>
        <v>562.5</v>
      </c>
      <c r="Y18" s="66">
        <f t="shared" si="9"/>
        <v>9.375</v>
      </c>
      <c r="Z18" s="66">
        <f t="shared" si="10"/>
        <v>1.25</v>
      </c>
      <c r="AA18" s="96">
        <f t="shared" si="11"/>
        <v>6.9444444444444448E-2</v>
      </c>
      <c r="AB18" s="107">
        <f t="shared" si="12"/>
        <v>6.9444444444444448E-2</v>
      </c>
      <c r="AC18" s="102"/>
      <c r="AD18"/>
      <c r="AE18"/>
    </row>
    <row r="19" spans="2:32" x14ac:dyDescent="0.35">
      <c r="B19" s="47"/>
      <c r="C19" s="82">
        <v>9</v>
      </c>
      <c r="D19" s="82"/>
      <c r="E19" s="41"/>
      <c r="F19" s="111" t="s">
        <v>289</v>
      </c>
      <c r="G19" s="106">
        <v>300</v>
      </c>
      <c r="H19" s="82" t="s">
        <v>43</v>
      </c>
      <c r="I19" s="41" t="s">
        <v>137</v>
      </c>
      <c r="J19" s="82" t="s">
        <v>267</v>
      </c>
      <c r="K19" s="41"/>
      <c r="L19" s="41">
        <f t="shared" si="0"/>
        <v>300</v>
      </c>
      <c r="M19" s="82">
        <v>150</v>
      </c>
      <c r="N19" s="7">
        <v>1</v>
      </c>
      <c r="O19" s="82">
        <f t="shared" si="3"/>
        <v>300</v>
      </c>
      <c r="P19" s="82">
        <f t="shared" si="4"/>
        <v>150</v>
      </c>
      <c r="Q19" s="66">
        <f t="shared" si="5"/>
        <v>225</v>
      </c>
      <c r="R19" s="66">
        <f t="shared" si="1"/>
        <v>67500</v>
      </c>
      <c r="S19" s="66">
        <f t="shared" si="6"/>
        <v>1125</v>
      </c>
      <c r="T19" s="66">
        <f t="shared" si="6"/>
        <v>18.75</v>
      </c>
      <c r="U19" s="66">
        <f t="shared" si="7"/>
        <v>2.5</v>
      </c>
      <c r="V19" s="66">
        <f t="shared" si="8"/>
        <v>0.1388888888888889</v>
      </c>
      <c r="W19" s="66">
        <f t="shared" si="2"/>
        <v>33750</v>
      </c>
      <c r="X19" s="66">
        <f t="shared" si="9"/>
        <v>562.5</v>
      </c>
      <c r="Y19" s="66">
        <f t="shared" si="9"/>
        <v>9.375</v>
      </c>
      <c r="Z19" s="66">
        <f t="shared" si="10"/>
        <v>1.25</v>
      </c>
      <c r="AA19" s="96">
        <f t="shared" si="11"/>
        <v>6.9444444444444448E-2</v>
      </c>
      <c r="AB19" s="107">
        <f t="shared" si="12"/>
        <v>6.9444444444444448E-2</v>
      </c>
      <c r="AC19" s="102"/>
      <c r="AD19"/>
      <c r="AE19"/>
    </row>
    <row r="20" spans="2:32" x14ac:dyDescent="0.35">
      <c r="B20" s="47"/>
      <c r="C20" s="82">
        <v>10</v>
      </c>
      <c r="D20" s="82" t="s">
        <v>258</v>
      </c>
      <c r="E20" s="41" t="s">
        <v>263</v>
      </c>
      <c r="F20" s="111" t="s">
        <v>291</v>
      </c>
      <c r="G20" s="106">
        <v>600</v>
      </c>
      <c r="H20" s="82" t="s">
        <v>302</v>
      </c>
      <c r="I20" s="41" t="s">
        <v>137</v>
      </c>
      <c r="J20" s="82" t="s">
        <v>267</v>
      </c>
      <c r="K20" s="97"/>
      <c r="L20" s="41">
        <f t="shared" si="0"/>
        <v>600</v>
      </c>
      <c r="M20" s="82">
        <v>180</v>
      </c>
      <c r="N20" s="7">
        <v>0.3</v>
      </c>
      <c r="O20" s="82">
        <f t="shared" si="3"/>
        <v>180</v>
      </c>
      <c r="P20" s="82">
        <f t="shared" si="4"/>
        <v>54</v>
      </c>
      <c r="Q20" s="66">
        <v>225</v>
      </c>
      <c r="R20" s="66">
        <f t="shared" si="1"/>
        <v>135000</v>
      </c>
      <c r="S20" s="66">
        <f t="shared" si="6"/>
        <v>2250</v>
      </c>
      <c r="T20" s="66">
        <f t="shared" si="6"/>
        <v>37.5</v>
      </c>
      <c r="U20" s="66">
        <f t="shared" si="7"/>
        <v>5</v>
      </c>
      <c r="V20" s="66">
        <f t="shared" si="8"/>
        <v>0.27777777777777779</v>
      </c>
      <c r="W20" s="66">
        <f t="shared" si="2"/>
        <v>40500</v>
      </c>
      <c r="X20" s="66">
        <f t="shared" si="9"/>
        <v>675</v>
      </c>
      <c r="Y20" s="66">
        <f t="shared" si="9"/>
        <v>11.25</v>
      </c>
      <c r="Z20" s="66">
        <f t="shared" si="10"/>
        <v>1.5</v>
      </c>
      <c r="AA20" s="96">
        <f t="shared" si="11"/>
        <v>8.3333333333333329E-2</v>
      </c>
      <c r="AB20" s="107">
        <f t="shared" si="12"/>
        <v>0.19444444444444448</v>
      </c>
      <c r="AC20" s="102"/>
      <c r="AD20"/>
      <c r="AE20"/>
    </row>
    <row r="21" spans="2:32" x14ac:dyDescent="0.35">
      <c r="B21" s="47"/>
      <c r="C21" s="82">
        <v>11</v>
      </c>
      <c r="D21" s="82" t="s">
        <v>259</v>
      </c>
      <c r="E21" s="41" t="s">
        <v>261</v>
      </c>
      <c r="F21" s="111" t="s">
        <v>290</v>
      </c>
      <c r="G21" s="106">
        <v>300</v>
      </c>
      <c r="H21" s="82" t="s">
        <v>43</v>
      </c>
      <c r="I21" s="41" t="s">
        <v>137</v>
      </c>
      <c r="J21" s="82" t="s">
        <v>267</v>
      </c>
      <c r="K21" s="41"/>
      <c r="L21" s="41">
        <f t="shared" si="0"/>
        <v>300</v>
      </c>
      <c r="M21" s="82">
        <v>120</v>
      </c>
      <c r="N21" s="7">
        <v>1</v>
      </c>
      <c r="O21" s="82">
        <f t="shared" si="3"/>
        <v>300</v>
      </c>
      <c r="P21" s="82">
        <f t="shared" si="4"/>
        <v>120</v>
      </c>
      <c r="Q21" s="66">
        <f t="shared" si="5"/>
        <v>225</v>
      </c>
      <c r="R21" s="66">
        <f t="shared" si="1"/>
        <v>67500</v>
      </c>
      <c r="S21" s="66">
        <f t="shared" si="6"/>
        <v>1125</v>
      </c>
      <c r="T21" s="66">
        <f t="shared" si="6"/>
        <v>18.75</v>
      </c>
      <c r="U21" s="66">
        <f t="shared" si="7"/>
        <v>2.5</v>
      </c>
      <c r="V21" s="66">
        <f t="shared" si="8"/>
        <v>0.1388888888888889</v>
      </c>
      <c r="W21" s="66">
        <f t="shared" si="2"/>
        <v>27000</v>
      </c>
      <c r="X21" s="66">
        <f t="shared" si="9"/>
        <v>450</v>
      </c>
      <c r="Y21" s="66">
        <f t="shared" si="9"/>
        <v>7.5</v>
      </c>
      <c r="Z21" s="66">
        <f t="shared" si="10"/>
        <v>1</v>
      </c>
      <c r="AA21" s="96">
        <f t="shared" si="11"/>
        <v>5.5555555555555552E-2</v>
      </c>
      <c r="AB21" s="107">
        <f t="shared" si="12"/>
        <v>8.3333333333333343E-2</v>
      </c>
      <c r="AC21" s="102"/>
      <c r="AD21"/>
      <c r="AE21"/>
    </row>
    <row r="22" spans="2:32" x14ac:dyDescent="0.35">
      <c r="B22" s="47"/>
      <c r="C22" s="82">
        <v>12</v>
      </c>
      <c r="D22" s="82" t="s">
        <v>266</v>
      </c>
      <c r="E22" s="41" t="s">
        <v>261</v>
      </c>
      <c r="F22" s="111" t="s">
        <v>292</v>
      </c>
      <c r="G22" s="106">
        <v>300</v>
      </c>
      <c r="H22" s="82" t="s">
        <v>43</v>
      </c>
      <c r="I22" s="41" t="s">
        <v>137</v>
      </c>
      <c r="J22" s="82" t="s">
        <v>267</v>
      </c>
      <c r="K22" s="41"/>
      <c r="L22" s="41">
        <f t="shared" si="0"/>
        <v>300</v>
      </c>
      <c r="M22" s="82">
        <v>150</v>
      </c>
      <c r="N22" s="7">
        <v>1</v>
      </c>
      <c r="O22" s="82">
        <f t="shared" si="3"/>
        <v>300</v>
      </c>
      <c r="P22" s="82">
        <f t="shared" si="4"/>
        <v>150</v>
      </c>
      <c r="Q22" s="66">
        <f t="shared" si="5"/>
        <v>225</v>
      </c>
      <c r="R22" s="66">
        <f t="shared" si="1"/>
        <v>67500</v>
      </c>
      <c r="S22" s="66">
        <f t="shared" si="6"/>
        <v>1125</v>
      </c>
      <c r="T22" s="66">
        <f t="shared" si="6"/>
        <v>18.75</v>
      </c>
      <c r="U22" s="66">
        <f t="shared" si="7"/>
        <v>2.5</v>
      </c>
      <c r="V22" s="66">
        <f t="shared" si="8"/>
        <v>0.1388888888888889</v>
      </c>
      <c r="W22" s="66">
        <f t="shared" si="2"/>
        <v>33750</v>
      </c>
      <c r="X22" s="66">
        <f t="shared" si="9"/>
        <v>562.5</v>
      </c>
      <c r="Y22" s="66">
        <f t="shared" si="9"/>
        <v>9.375</v>
      </c>
      <c r="Z22" s="66">
        <f t="shared" si="10"/>
        <v>1.25</v>
      </c>
      <c r="AA22" s="96">
        <f t="shared" si="11"/>
        <v>6.9444444444444448E-2</v>
      </c>
      <c r="AB22" s="107">
        <f t="shared" si="12"/>
        <v>6.9444444444444448E-2</v>
      </c>
      <c r="AC22" s="102"/>
      <c r="AD22"/>
      <c r="AE22"/>
    </row>
    <row r="23" spans="2:32" s="3" customFormat="1" x14ac:dyDescent="0.35">
      <c r="B23" s="47"/>
      <c r="E23" s="6"/>
      <c r="F23" s="2"/>
      <c r="G23" s="41">
        <f>SUM(G12:G22)</f>
        <v>3420</v>
      </c>
      <c r="H23" s="6"/>
      <c r="I23" s="6"/>
      <c r="J23" s="6"/>
      <c r="K23" s="6"/>
      <c r="L23" s="41">
        <f>SUM(L11:L22)</f>
        <v>3420</v>
      </c>
      <c r="M23" s="41">
        <f>SUM(M12:M22)</f>
        <v>1320</v>
      </c>
      <c r="N23" s="41" t="s">
        <v>276</v>
      </c>
      <c r="O23" s="41">
        <f>SUM(O11:O22)</f>
        <v>2580</v>
      </c>
      <c r="P23" s="41">
        <f>SUM(P11:P22)</f>
        <v>1068</v>
      </c>
      <c r="Q23" s="6"/>
      <c r="R23" s="6"/>
      <c r="S23" s="6"/>
      <c r="T23" s="6"/>
      <c r="U23" s="6"/>
      <c r="V23" s="51">
        <f>SUM(V11:V22)</f>
        <v>1.583333333333333</v>
      </c>
      <c r="W23" s="6"/>
      <c r="Z23" s="51"/>
      <c r="AA23" s="66">
        <f>SUM(AA11:AA22)</f>
        <v>0.61111111111111105</v>
      </c>
      <c r="AB23" s="66">
        <f>SUM(AB11:AB22)</f>
        <v>0.97222222222222221</v>
      </c>
      <c r="AC23" s="104"/>
    </row>
    <row r="24" spans="2:32" s="3" customFormat="1" x14ac:dyDescent="0.35">
      <c r="B24" s="47"/>
      <c r="E24" s="6"/>
      <c r="F24" s="2"/>
      <c r="G24" s="6"/>
      <c r="H24" s="6"/>
      <c r="I24" s="6"/>
      <c r="J24" s="6"/>
      <c r="K24" s="6"/>
      <c r="L24" s="6">
        <f>L23/60</f>
        <v>57</v>
      </c>
      <c r="M24" s="6">
        <f>M23/60</f>
        <v>22</v>
      </c>
      <c r="N24" s="41" t="s">
        <v>270</v>
      </c>
      <c r="O24" s="66">
        <f>O23/60</f>
        <v>43</v>
      </c>
      <c r="P24" s="66">
        <f>P23/60</f>
        <v>17.8</v>
      </c>
      <c r="Q24" s="6"/>
      <c r="R24" s="6"/>
      <c r="S24" s="6"/>
      <c r="T24" s="6"/>
      <c r="U24" s="6"/>
      <c r="V24" s="51">
        <f>V23*1.1</f>
        <v>1.7416666666666665</v>
      </c>
      <c r="W24" s="6"/>
      <c r="X24" s="6"/>
      <c r="Y24" s="52"/>
      <c r="Z24" s="51"/>
      <c r="AA24" s="51">
        <f>AA23*1.1</f>
        <v>0.67222222222222217</v>
      </c>
      <c r="AB24" s="51">
        <f>AB23*1.1</f>
        <v>1.0694444444444444</v>
      </c>
      <c r="AC24" s="104"/>
    </row>
    <row r="25" spans="2:32" s="3" customFormat="1" ht="15" thickBot="1" x14ac:dyDescent="0.4">
      <c r="B25" s="53"/>
      <c r="C25" s="54"/>
      <c r="D25" s="54"/>
      <c r="E25" s="55"/>
      <c r="F25" s="56"/>
      <c r="G25" s="56"/>
      <c r="H25" s="56"/>
      <c r="I25" s="56"/>
      <c r="J25" s="56"/>
      <c r="K25" s="56"/>
      <c r="L25" s="56"/>
      <c r="M25" s="56"/>
      <c r="N25" s="98" t="s">
        <v>277</v>
      </c>
      <c r="O25" s="99">
        <f>1-P24/O24</f>
        <v>0.586046511627907</v>
      </c>
      <c r="P25" s="119">
        <f>12-O25</f>
        <v>11.413953488372092</v>
      </c>
      <c r="Q25" s="55"/>
      <c r="R25" s="55"/>
      <c r="S25" s="55"/>
      <c r="T25" s="55"/>
      <c r="U25" s="55"/>
      <c r="V25" s="58">
        <f>SUM(V23:V24)</f>
        <v>3.3249999999999993</v>
      </c>
      <c r="W25" s="55"/>
      <c r="X25" s="55"/>
      <c r="Y25" s="57"/>
      <c r="Z25" s="58"/>
      <c r="AA25" s="58">
        <f>SUM(AA23:AA24)</f>
        <v>1.2833333333333332</v>
      </c>
      <c r="AB25" s="58">
        <f>SUM(AB23:AB24)</f>
        <v>2.0416666666666665</v>
      </c>
      <c r="AC25" s="108"/>
    </row>
    <row r="26" spans="2:32" x14ac:dyDescent="0.35">
      <c r="P26" s="51"/>
      <c r="AD26"/>
      <c r="AF26" s="3"/>
    </row>
    <row r="27" spans="2:32" x14ac:dyDescent="0.35">
      <c r="O27" s="51"/>
      <c r="P27" s="51"/>
      <c r="AD27"/>
      <c r="AF27" s="3"/>
    </row>
    <row r="28" spans="2:32" x14ac:dyDescent="0.35">
      <c r="F28" s="112" t="s">
        <v>280</v>
      </c>
      <c r="G28" s="113" t="s">
        <v>293</v>
      </c>
      <c r="H28" s="113"/>
      <c r="I28" s="113"/>
      <c r="J28" s="113"/>
      <c r="K28" s="113"/>
      <c r="O28" s="51"/>
      <c r="P28" s="100"/>
      <c r="AD28"/>
      <c r="AF28" s="3"/>
    </row>
    <row r="29" spans="2:32" s="3" customFormat="1" hidden="1" x14ac:dyDescent="0.35">
      <c r="B29"/>
      <c r="E29" s="11"/>
      <c r="F29" s="114" t="s">
        <v>137</v>
      </c>
      <c r="G29" s="113"/>
      <c r="H29" s="113"/>
      <c r="I29" s="113"/>
      <c r="J29" s="113"/>
      <c r="K29" s="11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/>
    </row>
    <row r="30" spans="2:32" s="3" customFormat="1" hidden="1" x14ac:dyDescent="0.35">
      <c r="B30"/>
      <c r="E30" s="13"/>
      <c r="F30" s="115" t="s">
        <v>150</v>
      </c>
      <c r="G30" s="113"/>
      <c r="H30" s="113"/>
      <c r="I30" s="113"/>
      <c r="J30" s="113"/>
      <c r="K30" s="11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2:32" s="6" customFormat="1" hidden="1" x14ac:dyDescent="0.35">
      <c r="B31"/>
      <c r="C31" s="3"/>
      <c r="D31" s="3"/>
      <c r="E31" s="84"/>
      <c r="F31" s="116" t="s">
        <v>139</v>
      </c>
      <c r="G31" s="113"/>
      <c r="H31" s="113"/>
      <c r="I31" s="113"/>
      <c r="J31" s="113"/>
      <c r="K31" s="113"/>
      <c r="AD31" s="3"/>
      <c r="AE31" s="3"/>
    </row>
    <row r="32" spans="2:32" s="6" customFormat="1" hidden="1" x14ac:dyDescent="0.35">
      <c r="B32"/>
      <c r="C32" s="3"/>
      <c r="D32" s="3"/>
      <c r="E32" s="41"/>
      <c r="F32" s="115" t="s">
        <v>22</v>
      </c>
      <c r="G32" s="113"/>
      <c r="H32" s="113"/>
      <c r="I32" s="113"/>
      <c r="J32" s="113"/>
      <c r="K32" s="113"/>
      <c r="AD32" s="3"/>
      <c r="AE32" s="3"/>
    </row>
    <row r="33" spans="6:11" x14ac:dyDescent="0.35">
      <c r="F33" s="117" t="s">
        <v>281</v>
      </c>
      <c r="G33" s="113">
        <v>3</v>
      </c>
      <c r="H33" s="113">
        <f>G33*60</f>
        <v>180</v>
      </c>
      <c r="I33" s="113"/>
      <c r="J33" s="113"/>
      <c r="K33" s="113"/>
    </row>
    <row r="34" spans="6:11" x14ac:dyDescent="0.35">
      <c r="F34" s="117" t="s">
        <v>282</v>
      </c>
      <c r="G34" s="113">
        <v>2</v>
      </c>
      <c r="H34" s="113">
        <f>G34*60</f>
        <v>120</v>
      </c>
      <c r="I34" s="113"/>
      <c r="J34" s="113"/>
      <c r="K34" s="113"/>
    </row>
    <row r="35" spans="6:11" x14ac:dyDescent="0.35">
      <c r="F35" s="112" t="s">
        <v>283</v>
      </c>
      <c r="G35" s="113"/>
      <c r="H35" s="113"/>
      <c r="I35" s="113"/>
      <c r="J35" s="113"/>
      <c r="K35" s="113"/>
    </row>
    <row r="36" spans="6:11" x14ac:dyDescent="0.35">
      <c r="F36" s="117" t="s">
        <v>284</v>
      </c>
      <c r="G36" s="113">
        <v>2</v>
      </c>
      <c r="H36" s="113">
        <f t="shared" ref="H36:H45" si="13">G36*60</f>
        <v>120</v>
      </c>
      <c r="I36" s="113"/>
      <c r="J36" s="113"/>
      <c r="K36" s="113"/>
    </row>
    <row r="37" spans="6:11" x14ac:dyDescent="0.35">
      <c r="F37" s="117" t="s">
        <v>285</v>
      </c>
      <c r="G37" s="113">
        <v>3</v>
      </c>
      <c r="H37" s="113">
        <f t="shared" si="13"/>
        <v>180</v>
      </c>
      <c r="I37" s="113" t="s">
        <v>298</v>
      </c>
      <c r="J37" s="113">
        <f>8*8*22</f>
        <v>1408</v>
      </c>
      <c r="K37" s="113"/>
    </row>
    <row r="38" spans="6:11" ht="29" x14ac:dyDescent="0.35">
      <c r="F38" s="117" t="s">
        <v>286</v>
      </c>
      <c r="G38" s="113">
        <v>5</v>
      </c>
      <c r="H38" s="113">
        <f t="shared" si="13"/>
        <v>300</v>
      </c>
      <c r="I38" s="113" t="s">
        <v>299</v>
      </c>
      <c r="J38" s="118">
        <f>J37/(225*10)</f>
        <v>0.62577777777777777</v>
      </c>
      <c r="K38" s="113" t="s">
        <v>301</v>
      </c>
    </row>
    <row r="39" spans="6:11" x14ac:dyDescent="0.35">
      <c r="F39" s="112" t="s">
        <v>287</v>
      </c>
      <c r="G39" s="113">
        <v>5</v>
      </c>
      <c r="H39" s="113">
        <f t="shared" si="13"/>
        <v>300</v>
      </c>
      <c r="I39" s="113" t="s">
        <v>300</v>
      </c>
      <c r="J39" s="118">
        <f>J38*60</f>
        <v>37.546666666666667</v>
      </c>
      <c r="K39" s="113"/>
    </row>
    <row r="40" spans="6:11" x14ac:dyDescent="0.35">
      <c r="F40" s="112" t="s">
        <v>288</v>
      </c>
      <c r="G40" s="113">
        <v>5</v>
      </c>
      <c r="H40" s="113">
        <f t="shared" si="13"/>
        <v>300</v>
      </c>
      <c r="I40" s="113"/>
      <c r="J40" s="113"/>
      <c r="K40" s="113"/>
    </row>
    <row r="41" spans="6:11" x14ac:dyDescent="0.35">
      <c r="F41" s="112" t="s">
        <v>289</v>
      </c>
      <c r="G41" s="113">
        <v>5</v>
      </c>
      <c r="H41" s="113">
        <f t="shared" si="13"/>
        <v>300</v>
      </c>
      <c r="I41" s="113"/>
      <c r="J41" s="113"/>
      <c r="K41" s="113"/>
    </row>
    <row r="42" spans="6:11" x14ac:dyDescent="0.35">
      <c r="F42" s="112" t="s">
        <v>291</v>
      </c>
      <c r="G42" s="113">
        <v>5</v>
      </c>
      <c r="H42" s="113">
        <f t="shared" si="13"/>
        <v>300</v>
      </c>
      <c r="I42" s="113"/>
      <c r="J42" s="113"/>
      <c r="K42" s="113"/>
    </row>
    <row r="43" spans="6:11" x14ac:dyDescent="0.35">
      <c r="F43" s="112" t="s">
        <v>290</v>
      </c>
      <c r="G43" s="113">
        <v>5</v>
      </c>
      <c r="H43" s="113">
        <f t="shared" si="13"/>
        <v>300</v>
      </c>
      <c r="I43" s="113"/>
      <c r="J43" s="113"/>
      <c r="K43" s="113"/>
    </row>
    <row r="44" spans="6:11" x14ac:dyDescent="0.35">
      <c r="F44" s="112" t="s">
        <v>292</v>
      </c>
      <c r="G44" s="113">
        <v>5</v>
      </c>
      <c r="H44" s="113">
        <f t="shared" si="13"/>
        <v>300</v>
      </c>
      <c r="I44" s="113"/>
      <c r="J44" s="113"/>
      <c r="K44" s="113"/>
    </row>
    <row r="45" spans="6:11" x14ac:dyDescent="0.35">
      <c r="F45" s="112"/>
      <c r="G45" s="113">
        <f>SUM(G33:G44)</f>
        <v>45</v>
      </c>
      <c r="H45" s="113">
        <f t="shared" si="13"/>
        <v>2700</v>
      </c>
      <c r="I45" s="113"/>
      <c r="J45" s="113"/>
      <c r="K45" s="1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48D8-7AF4-4B9A-8F7F-12EEC457E8CA}">
  <dimension ref="B1:AF44"/>
  <sheetViews>
    <sheetView showGridLines="0" topLeftCell="P5" zoomScale="87" zoomScaleNormal="87" workbookViewId="0">
      <selection activeCell="U24" sqref="U24"/>
    </sheetView>
  </sheetViews>
  <sheetFormatPr defaultColWidth="8.81640625" defaultRowHeight="14.5" x14ac:dyDescent="0.35"/>
  <cols>
    <col min="1" max="1" width="2.81640625" customWidth="1"/>
    <col min="2" max="2" width="7.7265625" customWidth="1"/>
    <col min="3" max="3" width="4.1796875" style="3" customWidth="1"/>
    <col min="4" max="4" width="21.54296875" style="3" hidden="1" customWidth="1"/>
    <col min="5" max="5" width="11.81640625" style="6" hidden="1" customWidth="1"/>
    <col min="6" max="6" width="44.1796875" style="2" customWidth="1"/>
    <col min="7" max="7" width="14.54296875" style="6" customWidth="1"/>
    <col min="8" max="8" width="15.453125" style="6" bestFit="1" customWidth="1"/>
    <col min="9" max="9" width="30.54296875" style="6" bestFit="1" customWidth="1"/>
    <col min="10" max="10" width="16.1796875" style="6" bestFit="1" customWidth="1"/>
    <col min="11" max="11" width="13.453125" style="6" bestFit="1" customWidth="1"/>
    <col min="12" max="12" width="14.26953125" style="6" bestFit="1" customWidth="1"/>
    <col min="13" max="13" width="11.54296875" style="6" bestFit="1" customWidth="1"/>
    <col min="14" max="14" width="12.1796875" style="6" bestFit="1" customWidth="1"/>
    <col min="15" max="16" width="14.453125" style="6" customWidth="1"/>
    <col min="17" max="18" width="12.1796875" style="6" bestFit="1" customWidth="1"/>
    <col min="19" max="19" width="14.26953125" style="6" bestFit="1" customWidth="1"/>
    <col min="20" max="20" width="13.81640625" style="6" bestFit="1" customWidth="1"/>
    <col min="21" max="21" width="14.453125" style="6" customWidth="1"/>
    <col min="22" max="22" width="9.453125" style="6" bestFit="1" customWidth="1"/>
    <col min="23" max="26" width="14.453125" style="6" customWidth="1"/>
    <col min="27" max="27" width="10.1796875" style="6" bestFit="1" customWidth="1"/>
    <col min="28" max="28" width="17.1796875" style="6" bestFit="1" customWidth="1"/>
    <col min="29" max="29" width="14.453125" style="6" customWidth="1"/>
    <col min="30" max="30" width="22.453125" style="3" customWidth="1"/>
    <col min="31" max="31" width="17.7265625" style="3" customWidth="1"/>
  </cols>
  <sheetData>
    <row r="1" spans="2:31" ht="15" thickBot="1" x14ac:dyDescent="0.4"/>
    <row r="2" spans="2:31" x14ac:dyDescent="0.35">
      <c r="B2" s="42"/>
      <c r="C2" s="43"/>
      <c r="D2" s="43"/>
      <c r="E2" s="44"/>
      <c r="F2" s="45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105"/>
    </row>
    <row r="3" spans="2:31" ht="29" x14ac:dyDescent="0.35">
      <c r="B3" s="47"/>
      <c r="F3" s="126"/>
      <c r="G3" s="127" t="s">
        <v>279</v>
      </c>
      <c r="H3" s="127" t="s">
        <v>268</v>
      </c>
      <c r="I3" s="126"/>
      <c r="J3" s="126"/>
      <c r="AB3"/>
      <c r="AC3" s="102"/>
      <c r="AD3"/>
      <c r="AE3"/>
    </row>
    <row r="4" spans="2:31" x14ac:dyDescent="0.35">
      <c r="B4" s="47"/>
      <c r="F4" s="131"/>
      <c r="G4" s="128">
        <v>1</v>
      </c>
      <c r="H4" s="128">
        <v>1</v>
      </c>
      <c r="I4" s="131" t="s">
        <v>296</v>
      </c>
      <c r="J4" s="126">
        <f>8*7.5*60*60</f>
        <v>216000</v>
      </c>
      <c r="AB4"/>
      <c r="AC4" s="102"/>
      <c r="AD4"/>
      <c r="AE4"/>
    </row>
    <row r="5" spans="2:31" x14ac:dyDescent="0.35">
      <c r="B5" s="47"/>
      <c r="F5" s="126"/>
      <c r="G5" s="129">
        <v>225</v>
      </c>
      <c r="H5" s="130">
        <f>G5</f>
        <v>225</v>
      </c>
      <c r="I5" s="126" t="s">
        <v>297</v>
      </c>
      <c r="J5" s="126">
        <f>H5*(50+55)*60</f>
        <v>1417500</v>
      </c>
      <c r="AB5"/>
      <c r="AC5" s="102"/>
      <c r="AD5"/>
      <c r="AE5"/>
    </row>
    <row r="6" spans="2:31" x14ac:dyDescent="0.35">
      <c r="B6" s="47"/>
      <c r="F6" s="126"/>
      <c r="G6" s="113"/>
      <c r="H6" s="113"/>
      <c r="I6" s="113"/>
      <c r="J6" s="126">
        <f>J5/J4</f>
        <v>6.5625</v>
      </c>
      <c r="K6" s="100"/>
      <c r="M6" s="51"/>
      <c r="AC6" s="103"/>
      <c r="AD6"/>
      <c r="AE6"/>
    </row>
    <row r="7" spans="2:31" x14ac:dyDescent="0.35">
      <c r="B7" s="47"/>
      <c r="AC7" s="101"/>
    </row>
    <row r="8" spans="2:31" x14ac:dyDescent="0.35">
      <c r="B8" s="47"/>
      <c r="AC8" s="101"/>
    </row>
    <row r="9" spans="2:31" x14ac:dyDescent="0.35">
      <c r="B9" s="47"/>
      <c r="J9" s="109"/>
      <c r="K9" s="109"/>
      <c r="AC9" s="101"/>
    </row>
    <row r="10" spans="2:31" ht="29" x14ac:dyDescent="0.35">
      <c r="B10" s="47"/>
      <c r="C10" s="5" t="s">
        <v>127</v>
      </c>
      <c r="D10" s="50" t="s">
        <v>265</v>
      </c>
      <c r="E10" s="50" t="s">
        <v>3</v>
      </c>
      <c r="F10" s="5" t="s">
        <v>273</v>
      </c>
      <c r="G10" s="5" t="s">
        <v>260</v>
      </c>
      <c r="H10" s="5" t="s">
        <v>1</v>
      </c>
      <c r="I10" s="5" t="s">
        <v>136</v>
      </c>
      <c r="J10" s="5" t="s">
        <v>140</v>
      </c>
      <c r="K10" s="5" t="s">
        <v>70</v>
      </c>
      <c r="L10" s="5" t="s">
        <v>109</v>
      </c>
      <c r="M10" s="5" t="s">
        <v>110</v>
      </c>
      <c r="N10" s="5" t="s">
        <v>105</v>
      </c>
      <c r="O10" s="5" t="s">
        <v>271</v>
      </c>
      <c r="P10" s="5" t="s">
        <v>272</v>
      </c>
      <c r="Q10" s="48" t="s">
        <v>275</v>
      </c>
      <c r="R10" s="48" t="s">
        <v>274</v>
      </c>
      <c r="S10" s="48" t="s">
        <v>116</v>
      </c>
      <c r="T10" s="48" t="s">
        <v>117</v>
      </c>
      <c r="U10" s="48" t="s">
        <v>118</v>
      </c>
      <c r="V10" s="48" t="s">
        <v>119</v>
      </c>
      <c r="W10" s="48" t="s">
        <v>269</v>
      </c>
      <c r="X10" s="48" t="s">
        <v>123</v>
      </c>
      <c r="Y10" s="48" t="s">
        <v>124</v>
      </c>
      <c r="Z10" s="48" t="s">
        <v>125</v>
      </c>
      <c r="AA10" s="48" t="s">
        <v>126</v>
      </c>
      <c r="AB10" s="48" t="s">
        <v>278</v>
      </c>
      <c r="AC10" s="102"/>
      <c r="AD10"/>
      <c r="AE10"/>
    </row>
    <row r="11" spans="2:31" ht="29" x14ac:dyDescent="0.35">
      <c r="B11" s="47"/>
      <c r="C11" s="82">
        <v>1</v>
      </c>
      <c r="D11" s="82" t="s">
        <v>250</v>
      </c>
      <c r="E11" s="41" t="s">
        <v>262</v>
      </c>
      <c r="F11" s="83" t="s">
        <v>303</v>
      </c>
      <c r="G11" s="106"/>
      <c r="H11" s="41" t="s">
        <v>43</v>
      </c>
      <c r="I11" s="41" t="s">
        <v>137</v>
      </c>
      <c r="J11" s="41" t="s">
        <v>146</v>
      </c>
      <c r="K11" s="41"/>
      <c r="L11" s="41" t="s">
        <v>22</v>
      </c>
      <c r="M11" s="41" t="s">
        <v>22</v>
      </c>
      <c r="N11" s="41" t="s">
        <v>22</v>
      </c>
      <c r="O11" s="41"/>
      <c r="P11" s="41"/>
      <c r="Q11" s="41" t="s">
        <v>22</v>
      </c>
      <c r="R11" s="41" t="s">
        <v>22</v>
      </c>
      <c r="S11" s="41" t="s">
        <v>22</v>
      </c>
      <c r="T11" s="41" t="s">
        <v>22</v>
      </c>
      <c r="U11" s="41" t="s">
        <v>22</v>
      </c>
      <c r="V11" s="41" t="s">
        <v>22</v>
      </c>
      <c r="W11" s="41" t="s">
        <v>22</v>
      </c>
      <c r="X11" s="41" t="s">
        <v>22</v>
      </c>
      <c r="Y11" s="41" t="s">
        <v>22</v>
      </c>
      <c r="Z11" s="41" t="s">
        <v>22</v>
      </c>
      <c r="AA11" s="41" t="s">
        <v>22</v>
      </c>
      <c r="AB11" s="9">
        <v>0</v>
      </c>
      <c r="AC11" s="102"/>
      <c r="AD11"/>
      <c r="AE11"/>
    </row>
    <row r="12" spans="2:31" x14ac:dyDescent="0.35">
      <c r="B12" s="47"/>
      <c r="C12" s="82">
        <v>2</v>
      </c>
      <c r="D12" s="82" t="s">
        <v>251</v>
      </c>
      <c r="E12" s="41" t="s">
        <v>261</v>
      </c>
      <c r="F12" s="83" t="s">
        <v>284</v>
      </c>
      <c r="G12" s="106">
        <v>180</v>
      </c>
      <c r="H12" s="82" t="s">
        <v>43</v>
      </c>
      <c r="I12" s="41" t="s">
        <v>137</v>
      </c>
      <c r="J12" s="82" t="s">
        <v>267</v>
      </c>
      <c r="K12" s="41"/>
      <c r="L12" s="41"/>
      <c r="M12" s="41"/>
      <c r="N12" s="7"/>
      <c r="O12" s="82"/>
      <c r="P12" s="82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96"/>
      <c r="AB12" s="107"/>
      <c r="AC12" s="102"/>
      <c r="AD12"/>
      <c r="AE12"/>
    </row>
    <row r="13" spans="2:31" x14ac:dyDescent="0.35">
      <c r="B13" s="47"/>
      <c r="C13" s="82">
        <v>3</v>
      </c>
      <c r="D13" s="82" t="s">
        <v>252</v>
      </c>
      <c r="E13" s="41" t="s">
        <v>261</v>
      </c>
      <c r="F13" s="83" t="s">
        <v>304</v>
      </c>
      <c r="G13" s="106">
        <v>30</v>
      </c>
      <c r="H13" s="82" t="s">
        <v>43</v>
      </c>
      <c r="I13" s="41" t="s">
        <v>137</v>
      </c>
      <c r="J13" s="82" t="s">
        <v>267</v>
      </c>
      <c r="K13" s="41"/>
      <c r="L13" s="41"/>
      <c r="M13" s="82"/>
      <c r="N13" s="7"/>
      <c r="O13" s="82"/>
      <c r="P13" s="82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96"/>
      <c r="AB13" s="107"/>
      <c r="AC13" s="102"/>
      <c r="AD13"/>
      <c r="AE13"/>
    </row>
    <row r="14" spans="2:31" x14ac:dyDescent="0.35">
      <c r="B14" s="47"/>
      <c r="C14" s="82">
        <v>4</v>
      </c>
      <c r="D14" s="82" t="s">
        <v>253</v>
      </c>
      <c r="E14" s="41" t="s">
        <v>261</v>
      </c>
      <c r="F14" s="111" t="s">
        <v>305</v>
      </c>
      <c r="G14" s="41">
        <v>180</v>
      </c>
      <c r="H14" s="82" t="s">
        <v>43</v>
      </c>
      <c r="I14" s="41" t="s">
        <v>137</v>
      </c>
      <c r="J14" s="82" t="s">
        <v>267</v>
      </c>
      <c r="K14" s="41"/>
      <c r="L14" s="41">
        <f>G12</f>
        <v>180</v>
      </c>
      <c r="M14" s="82">
        <v>60</v>
      </c>
      <c r="N14" s="7">
        <v>1</v>
      </c>
      <c r="O14" s="82">
        <f t="shared" ref="O14:O21" si="0">N14*L14</f>
        <v>180</v>
      </c>
      <c r="P14" s="82">
        <f t="shared" ref="P14:P21" si="1">N14*M14</f>
        <v>60</v>
      </c>
      <c r="Q14" s="66">
        <f t="shared" ref="Q14:Q21" si="2">$H$5*N14</f>
        <v>225</v>
      </c>
      <c r="R14" s="66">
        <f t="shared" ref="R14:R21" si="3">Q14*L14</f>
        <v>40500</v>
      </c>
      <c r="S14" s="66">
        <f t="shared" ref="S14:T21" si="4">R14/60</f>
        <v>675</v>
      </c>
      <c r="T14" s="66">
        <f t="shared" si="4"/>
        <v>11.25</v>
      </c>
      <c r="U14" s="66">
        <f t="shared" ref="U14:U21" si="5">T14/7.5</f>
        <v>1.5</v>
      </c>
      <c r="V14" s="66">
        <f t="shared" ref="V14:V21" si="6">U14/18</f>
        <v>8.3333333333333329E-2</v>
      </c>
      <c r="W14" s="66">
        <f t="shared" ref="W14:W21" si="7">Q14*M14</f>
        <v>13500</v>
      </c>
      <c r="X14" s="66">
        <f t="shared" ref="X14:Y21" si="8">W14/60</f>
        <v>225</v>
      </c>
      <c r="Y14" s="66">
        <f t="shared" si="8"/>
        <v>3.75</v>
      </c>
      <c r="Z14" s="66">
        <f t="shared" ref="Z14:Z21" si="9">Y14/7.5</f>
        <v>0.5</v>
      </c>
      <c r="AA14" s="96">
        <f t="shared" ref="AA14:AA21" si="10">Z14/18</f>
        <v>2.7777777777777776E-2</v>
      </c>
      <c r="AB14" s="107">
        <f t="shared" ref="AB14:AB21" si="11">V14-AA14</f>
        <v>5.5555555555555552E-2</v>
      </c>
      <c r="AC14" s="102"/>
      <c r="AD14"/>
      <c r="AE14"/>
    </row>
    <row r="15" spans="2:31" x14ac:dyDescent="0.35">
      <c r="B15" s="47"/>
      <c r="C15" s="82">
        <v>5</v>
      </c>
      <c r="D15" s="82" t="s">
        <v>254</v>
      </c>
      <c r="E15" s="41" t="s">
        <v>261</v>
      </c>
      <c r="F15" s="110" t="s">
        <v>306</v>
      </c>
      <c r="G15" s="106">
        <f>30*60</f>
        <v>1800</v>
      </c>
      <c r="H15" s="82" t="s">
        <v>43</v>
      </c>
      <c r="I15" s="41" t="s">
        <v>137</v>
      </c>
      <c r="J15" s="82" t="s">
        <v>267</v>
      </c>
      <c r="K15" s="41"/>
      <c r="L15" s="41">
        <f t="shared" ref="L15:L21" si="12">G15</f>
        <v>1800</v>
      </c>
      <c r="M15" s="82">
        <v>600</v>
      </c>
      <c r="N15" s="7">
        <v>1</v>
      </c>
      <c r="O15" s="82">
        <f t="shared" si="0"/>
        <v>1800</v>
      </c>
      <c r="P15" s="82">
        <f t="shared" si="1"/>
        <v>600</v>
      </c>
      <c r="Q15" s="66">
        <f t="shared" si="2"/>
        <v>225</v>
      </c>
      <c r="R15" s="66">
        <f t="shared" si="3"/>
        <v>405000</v>
      </c>
      <c r="S15" s="66">
        <f t="shared" si="4"/>
        <v>6750</v>
      </c>
      <c r="T15" s="66">
        <f t="shared" si="4"/>
        <v>112.5</v>
      </c>
      <c r="U15" s="66">
        <f t="shared" si="5"/>
        <v>15</v>
      </c>
      <c r="V15" s="66">
        <f t="shared" si="6"/>
        <v>0.83333333333333337</v>
      </c>
      <c r="W15" s="66">
        <f t="shared" si="7"/>
        <v>135000</v>
      </c>
      <c r="X15" s="66">
        <f t="shared" si="8"/>
        <v>2250</v>
      </c>
      <c r="Y15" s="66">
        <f t="shared" si="8"/>
        <v>37.5</v>
      </c>
      <c r="Z15" s="66">
        <f t="shared" si="9"/>
        <v>5</v>
      </c>
      <c r="AA15" s="96">
        <f t="shared" si="10"/>
        <v>0.27777777777777779</v>
      </c>
      <c r="AB15" s="107">
        <f t="shared" si="11"/>
        <v>0.55555555555555558</v>
      </c>
      <c r="AC15" s="102"/>
      <c r="AD15"/>
      <c r="AE15"/>
    </row>
    <row r="16" spans="2:31" x14ac:dyDescent="0.35">
      <c r="B16" s="47"/>
      <c r="C16" s="82">
        <v>7</v>
      </c>
      <c r="D16" s="82" t="s">
        <v>256</v>
      </c>
      <c r="E16" s="41" t="s">
        <v>261</v>
      </c>
      <c r="F16" s="111" t="s">
        <v>287</v>
      </c>
      <c r="G16" s="106">
        <v>600</v>
      </c>
      <c r="H16" s="121" t="s">
        <v>302</v>
      </c>
      <c r="I16" s="41" t="s">
        <v>137</v>
      </c>
      <c r="J16" s="82" t="s">
        <v>267</v>
      </c>
      <c r="K16" s="41"/>
      <c r="L16" s="41">
        <f t="shared" si="12"/>
        <v>600</v>
      </c>
      <c r="M16" s="82">
        <v>180</v>
      </c>
      <c r="N16" s="7">
        <v>0.3</v>
      </c>
      <c r="O16" s="82">
        <f t="shared" si="0"/>
        <v>180</v>
      </c>
      <c r="P16" s="82">
        <f t="shared" si="1"/>
        <v>54</v>
      </c>
      <c r="Q16" s="66">
        <v>225</v>
      </c>
      <c r="R16" s="66">
        <f t="shared" si="3"/>
        <v>135000</v>
      </c>
      <c r="S16" s="66">
        <f t="shared" si="4"/>
        <v>2250</v>
      </c>
      <c r="T16" s="66">
        <f t="shared" si="4"/>
        <v>37.5</v>
      </c>
      <c r="U16" s="66">
        <f t="shared" si="5"/>
        <v>5</v>
      </c>
      <c r="V16" s="66">
        <f t="shared" si="6"/>
        <v>0.27777777777777779</v>
      </c>
      <c r="W16" s="66">
        <f t="shared" si="7"/>
        <v>40500</v>
      </c>
      <c r="X16" s="66">
        <f t="shared" si="8"/>
        <v>675</v>
      </c>
      <c r="Y16" s="66">
        <f t="shared" si="8"/>
        <v>11.25</v>
      </c>
      <c r="Z16" s="66">
        <f t="shared" si="9"/>
        <v>1.5</v>
      </c>
      <c r="AA16" s="96">
        <f t="shared" si="10"/>
        <v>8.3333333333333329E-2</v>
      </c>
      <c r="AB16" s="107">
        <f t="shared" si="11"/>
        <v>0.19444444444444448</v>
      </c>
      <c r="AC16" s="102"/>
      <c r="AD16"/>
      <c r="AE16"/>
    </row>
    <row r="17" spans="2:32" ht="13" customHeight="1" x14ac:dyDescent="0.35">
      <c r="B17" s="47"/>
      <c r="C17" s="82">
        <v>8</v>
      </c>
      <c r="D17" s="82" t="s">
        <v>257</v>
      </c>
      <c r="E17" s="41" t="s">
        <v>262</v>
      </c>
      <c r="F17" s="111" t="s">
        <v>288</v>
      </c>
      <c r="G17" s="41">
        <v>300</v>
      </c>
      <c r="H17" s="82" t="s">
        <v>43</v>
      </c>
      <c r="I17" s="41" t="s">
        <v>137</v>
      </c>
      <c r="J17" s="82" t="s">
        <v>267</v>
      </c>
      <c r="K17" s="41"/>
      <c r="L17" s="41">
        <f t="shared" si="12"/>
        <v>300</v>
      </c>
      <c r="M17" s="41">
        <v>300</v>
      </c>
      <c r="N17" s="40">
        <v>1</v>
      </c>
      <c r="O17" s="82">
        <f t="shared" si="0"/>
        <v>300</v>
      </c>
      <c r="P17" s="82">
        <f t="shared" si="1"/>
        <v>300</v>
      </c>
      <c r="Q17" s="66">
        <f t="shared" si="2"/>
        <v>225</v>
      </c>
      <c r="R17" s="66">
        <f t="shared" si="3"/>
        <v>67500</v>
      </c>
      <c r="S17" s="66">
        <f t="shared" si="4"/>
        <v>1125</v>
      </c>
      <c r="T17" s="66">
        <f t="shared" si="4"/>
        <v>18.75</v>
      </c>
      <c r="U17" s="66">
        <f t="shared" si="5"/>
        <v>2.5</v>
      </c>
      <c r="V17" s="66">
        <f t="shared" si="6"/>
        <v>0.1388888888888889</v>
      </c>
      <c r="W17" s="66">
        <f t="shared" si="7"/>
        <v>67500</v>
      </c>
      <c r="X17" s="66">
        <f t="shared" si="8"/>
        <v>1125</v>
      </c>
      <c r="Y17" s="66">
        <f t="shared" si="8"/>
        <v>18.75</v>
      </c>
      <c r="Z17" s="66">
        <f t="shared" si="9"/>
        <v>2.5</v>
      </c>
      <c r="AA17" s="96">
        <f t="shared" si="10"/>
        <v>0.1388888888888889</v>
      </c>
      <c r="AB17" s="107">
        <f t="shared" si="11"/>
        <v>0</v>
      </c>
      <c r="AC17" s="102"/>
      <c r="AD17"/>
      <c r="AE17"/>
    </row>
    <row r="18" spans="2:32" x14ac:dyDescent="0.35">
      <c r="B18" s="47"/>
      <c r="C18" s="82">
        <v>9</v>
      </c>
      <c r="D18" s="82"/>
      <c r="E18" s="41"/>
      <c r="F18" s="111" t="s">
        <v>289</v>
      </c>
      <c r="G18" s="106">
        <v>300</v>
      </c>
      <c r="H18" s="82" t="s">
        <v>43</v>
      </c>
      <c r="I18" s="41" t="s">
        <v>137</v>
      </c>
      <c r="J18" s="82" t="s">
        <v>267</v>
      </c>
      <c r="K18" s="41"/>
      <c r="L18" s="41">
        <f t="shared" si="12"/>
        <v>300</v>
      </c>
      <c r="M18" s="82">
        <v>150</v>
      </c>
      <c r="N18" s="7">
        <v>1</v>
      </c>
      <c r="O18" s="82">
        <f t="shared" si="0"/>
        <v>300</v>
      </c>
      <c r="P18" s="82">
        <f t="shared" si="1"/>
        <v>150</v>
      </c>
      <c r="Q18" s="66">
        <f t="shared" si="2"/>
        <v>225</v>
      </c>
      <c r="R18" s="66">
        <f t="shared" si="3"/>
        <v>67500</v>
      </c>
      <c r="S18" s="66">
        <f t="shared" si="4"/>
        <v>1125</v>
      </c>
      <c r="T18" s="66">
        <f t="shared" si="4"/>
        <v>18.75</v>
      </c>
      <c r="U18" s="66">
        <f t="shared" si="5"/>
        <v>2.5</v>
      </c>
      <c r="V18" s="66">
        <f t="shared" si="6"/>
        <v>0.1388888888888889</v>
      </c>
      <c r="W18" s="66">
        <f t="shared" si="7"/>
        <v>33750</v>
      </c>
      <c r="X18" s="66">
        <f t="shared" si="8"/>
        <v>562.5</v>
      </c>
      <c r="Y18" s="66">
        <f t="shared" si="8"/>
        <v>9.375</v>
      </c>
      <c r="Z18" s="66">
        <f t="shared" si="9"/>
        <v>1.25</v>
      </c>
      <c r="AA18" s="96">
        <f t="shared" si="10"/>
        <v>6.9444444444444448E-2</v>
      </c>
      <c r="AB18" s="107">
        <f t="shared" si="11"/>
        <v>6.9444444444444448E-2</v>
      </c>
      <c r="AC18" s="102"/>
      <c r="AD18"/>
      <c r="AE18"/>
    </row>
    <row r="19" spans="2:32" x14ac:dyDescent="0.35">
      <c r="B19" s="47"/>
      <c r="C19" s="82">
        <v>10</v>
      </c>
      <c r="D19" s="82" t="s">
        <v>258</v>
      </c>
      <c r="E19" s="41" t="s">
        <v>263</v>
      </c>
      <c r="F19" s="111" t="s">
        <v>291</v>
      </c>
      <c r="G19" s="106">
        <v>600</v>
      </c>
      <c r="H19" s="121" t="s">
        <v>302</v>
      </c>
      <c r="I19" s="41" t="s">
        <v>137</v>
      </c>
      <c r="J19" s="82" t="s">
        <v>267</v>
      </c>
      <c r="K19" s="97"/>
      <c r="L19" s="41">
        <f t="shared" si="12"/>
        <v>600</v>
      </c>
      <c r="M19" s="82">
        <v>180</v>
      </c>
      <c r="N19" s="7">
        <v>0.3</v>
      </c>
      <c r="O19" s="82">
        <f t="shared" si="0"/>
        <v>180</v>
      </c>
      <c r="P19" s="82">
        <f t="shared" si="1"/>
        <v>54</v>
      </c>
      <c r="Q19" s="66">
        <v>225</v>
      </c>
      <c r="R19" s="66">
        <f t="shared" si="3"/>
        <v>135000</v>
      </c>
      <c r="S19" s="66">
        <f t="shared" si="4"/>
        <v>2250</v>
      </c>
      <c r="T19" s="66">
        <f t="shared" si="4"/>
        <v>37.5</v>
      </c>
      <c r="U19" s="66">
        <f t="shared" si="5"/>
        <v>5</v>
      </c>
      <c r="V19" s="66">
        <f t="shared" si="6"/>
        <v>0.27777777777777779</v>
      </c>
      <c r="W19" s="66">
        <f t="shared" si="7"/>
        <v>40500</v>
      </c>
      <c r="X19" s="66">
        <f t="shared" si="8"/>
        <v>675</v>
      </c>
      <c r="Y19" s="66">
        <f t="shared" si="8"/>
        <v>11.25</v>
      </c>
      <c r="Z19" s="66">
        <f t="shared" si="9"/>
        <v>1.5</v>
      </c>
      <c r="AA19" s="96">
        <f t="shared" si="10"/>
        <v>8.3333333333333329E-2</v>
      </c>
      <c r="AB19" s="107">
        <f t="shared" si="11"/>
        <v>0.19444444444444448</v>
      </c>
      <c r="AC19" s="102"/>
      <c r="AD19"/>
      <c r="AE19"/>
    </row>
    <row r="20" spans="2:32" x14ac:dyDescent="0.35">
      <c r="B20" s="47"/>
      <c r="C20" s="82">
        <v>11</v>
      </c>
      <c r="D20" s="82" t="s">
        <v>259</v>
      </c>
      <c r="E20" s="41" t="s">
        <v>261</v>
      </c>
      <c r="F20" s="111" t="s">
        <v>290</v>
      </c>
      <c r="G20" s="106">
        <v>300</v>
      </c>
      <c r="H20" s="82" t="s">
        <v>43</v>
      </c>
      <c r="I20" s="41" t="s">
        <v>137</v>
      </c>
      <c r="J20" s="82" t="s">
        <v>267</v>
      </c>
      <c r="K20" s="41"/>
      <c r="L20" s="41">
        <f t="shared" si="12"/>
        <v>300</v>
      </c>
      <c r="M20" s="82">
        <v>120</v>
      </c>
      <c r="N20" s="7">
        <v>1</v>
      </c>
      <c r="O20" s="82">
        <f t="shared" si="0"/>
        <v>300</v>
      </c>
      <c r="P20" s="82">
        <f t="shared" si="1"/>
        <v>120</v>
      </c>
      <c r="Q20" s="66">
        <f t="shared" si="2"/>
        <v>225</v>
      </c>
      <c r="R20" s="66">
        <f t="shared" si="3"/>
        <v>67500</v>
      </c>
      <c r="S20" s="66">
        <f t="shared" si="4"/>
        <v>1125</v>
      </c>
      <c r="T20" s="66">
        <f t="shared" si="4"/>
        <v>18.75</v>
      </c>
      <c r="U20" s="66">
        <f t="shared" si="5"/>
        <v>2.5</v>
      </c>
      <c r="V20" s="66">
        <f t="shared" si="6"/>
        <v>0.1388888888888889</v>
      </c>
      <c r="W20" s="66">
        <f t="shared" si="7"/>
        <v>27000</v>
      </c>
      <c r="X20" s="66">
        <f t="shared" si="8"/>
        <v>450</v>
      </c>
      <c r="Y20" s="66">
        <f t="shared" si="8"/>
        <v>7.5</v>
      </c>
      <c r="Z20" s="66">
        <f t="shared" si="9"/>
        <v>1</v>
      </c>
      <c r="AA20" s="96">
        <f t="shared" si="10"/>
        <v>5.5555555555555552E-2</v>
      </c>
      <c r="AB20" s="107">
        <f t="shared" si="11"/>
        <v>8.3333333333333343E-2</v>
      </c>
      <c r="AC20" s="102"/>
      <c r="AD20"/>
      <c r="AE20"/>
    </row>
    <row r="21" spans="2:32" x14ac:dyDescent="0.35">
      <c r="B21" s="47"/>
      <c r="C21" s="82">
        <v>12</v>
      </c>
      <c r="D21" s="82" t="s">
        <v>266</v>
      </c>
      <c r="E21" s="41" t="s">
        <v>261</v>
      </c>
      <c r="F21" s="111" t="s">
        <v>292</v>
      </c>
      <c r="G21" s="106">
        <v>300</v>
      </c>
      <c r="H21" s="82" t="s">
        <v>43</v>
      </c>
      <c r="I21" s="41" t="s">
        <v>137</v>
      </c>
      <c r="J21" s="82" t="s">
        <v>267</v>
      </c>
      <c r="K21" s="41"/>
      <c r="L21" s="41">
        <f t="shared" si="12"/>
        <v>300</v>
      </c>
      <c r="M21" s="82">
        <v>150</v>
      </c>
      <c r="N21" s="7">
        <v>1</v>
      </c>
      <c r="O21" s="82">
        <f t="shared" si="0"/>
        <v>300</v>
      </c>
      <c r="P21" s="82">
        <f t="shared" si="1"/>
        <v>150</v>
      </c>
      <c r="Q21" s="66">
        <f t="shared" si="2"/>
        <v>225</v>
      </c>
      <c r="R21" s="66">
        <f t="shared" si="3"/>
        <v>67500</v>
      </c>
      <c r="S21" s="66">
        <f t="shared" si="4"/>
        <v>1125</v>
      </c>
      <c r="T21" s="66">
        <f t="shared" si="4"/>
        <v>18.75</v>
      </c>
      <c r="U21" s="66">
        <f t="shared" si="5"/>
        <v>2.5</v>
      </c>
      <c r="V21" s="66">
        <f t="shared" si="6"/>
        <v>0.1388888888888889</v>
      </c>
      <c r="W21" s="66">
        <f t="shared" si="7"/>
        <v>33750</v>
      </c>
      <c r="X21" s="66">
        <f t="shared" si="8"/>
        <v>562.5</v>
      </c>
      <c r="Y21" s="66">
        <f t="shared" si="8"/>
        <v>9.375</v>
      </c>
      <c r="Z21" s="66">
        <f t="shared" si="9"/>
        <v>1.25</v>
      </c>
      <c r="AA21" s="96">
        <f t="shared" si="10"/>
        <v>6.9444444444444448E-2</v>
      </c>
      <c r="AB21" s="107">
        <f t="shared" si="11"/>
        <v>6.9444444444444448E-2</v>
      </c>
      <c r="AC21" s="102"/>
      <c r="AD21"/>
      <c r="AE21"/>
    </row>
    <row r="22" spans="2:32" s="3" customFormat="1" x14ac:dyDescent="0.35">
      <c r="B22" s="47"/>
      <c r="E22" s="6"/>
      <c r="F22" s="2"/>
      <c r="G22" s="41">
        <f>SUM(G12:G21)</f>
        <v>4590</v>
      </c>
      <c r="H22" s="6"/>
      <c r="I22" s="6"/>
      <c r="J22" s="6"/>
      <c r="K22" s="6"/>
      <c r="L22" s="41">
        <f>SUM(L11:L21)</f>
        <v>4380</v>
      </c>
      <c r="M22" s="41">
        <f>SUM(M12:M21)</f>
        <v>1740</v>
      </c>
      <c r="N22" s="41" t="s">
        <v>276</v>
      </c>
      <c r="O22" s="41">
        <f>SUM(O11:O21)</f>
        <v>3540</v>
      </c>
      <c r="P22" s="41">
        <f>SUM(P11:P21)</f>
        <v>1488</v>
      </c>
      <c r="Q22" s="6"/>
      <c r="R22" s="6"/>
      <c r="S22" s="6"/>
      <c r="T22" s="6"/>
      <c r="U22" s="6"/>
      <c r="V22" s="66">
        <f>SUM(V11:V21)</f>
        <v>2.0277777777777777</v>
      </c>
      <c r="W22" s="6"/>
      <c r="Z22" s="51"/>
      <c r="AA22" s="66"/>
      <c r="AB22" s="66">
        <f>SUM(AB11:AB21)</f>
        <v>1.2222222222222221</v>
      </c>
      <c r="AC22" s="104"/>
    </row>
    <row r="23" spans="2:32" s="3" customFormat="1" x14ac:dyDescent="0.35">
      <c r="B23" s="47"/>
      <c r="E23" s="6"/>
      <c r="F23" s="2"/>
      <c r="G23" s="6"/>
      <c r="H23" s="6"/>
      <c r="I23" s="6"/>
      <c r="J23" s="6"/>
      <c r="K23" s="6"/>
      <c r="L23" s="6">
        <f>L22/60</f>
        <v>73</v>
      </c>
      <c r="M23" s="6">
        <f>M22/60</f>
        <v>29</v>
      </c>
      <c r="N23" s="41" t="s">
        <v>270</v>
      </c>
      <c r="O23" s="66">
        <f>O22/60</f>
        <v>59</v>
      </c>
      <c r="P23" s="66">
        <f>P22/60</f>
        <v>24.8</v>
      </c>
      <c r="Q23" s="6"/>
      <c r="R23" s="6"/>
      <c r="S23" s="6"/>
      <c r="T23" s="6"/>
      <c r="U23" s="6"/>
      <c r="V23" s="66">
        <f>V22*1.1</f>
        <v>2.2305555555555556</v>
      </c>
      <c r="W23" s="6"/>
      <c r="X23" s="6"/>
      <c r="Y23" s="52"/>
      <c r="Z23" s="51"/>
      <c r="AA23" s="66"/>
      <c r="AB23" s="66">
        <f>AB22*1.1</f>
        <v>1.3444444444444443</v>
      </c>
      <c r="AC23" s="104"/>
    </row>
    <row r="24" spans="2:32" s="3" customFormat="1" ht="15" thickBot="1" x14ac:dyDescent="0.4">
      <c r="B24" s="53"/>
      <c r="C24" s="54"/>
      <c r="D24" s="54"/>
      <c r="E24" s="55"/>
      <c r="F24" s="56"/>
      <c r="G24" s="56"/>
      <c r="H24" s="56"/>
      <c r="I24" s="56"/>
      <c r="J24" s="56"/>
      <c r="K24" s="56"/>
      <c r="L24" s="56"/>
      <c r="M24" s="56"/>
      <c r="N24" s="98" t="s">
        <v>277</v>
      </c>
      <c r="O24" s="99">
        <f>1-P23/O23</f>
        <v>0.57966101694915251</v>
      </c>
      <c r="P24" s="119">
        <f>12-O24</f>
        <v>11.420338983050847</v>
      </c>
      <c r="Q24" s="55"/>
      <c r="R24" s="55"/>
      <c r="S24" s="55"/>
      <c r="T24" s="55"/>
      <c r="U24" s="55"/>
      <c r="V24" s="58">
        <f>SUM(V22:V23)</f>
        <v>4.2583333333333329</v>
      </c>
      <c r="W24" s="55"/>
      <c r="X24" s="55"/>
      <c r="Y24" s="57"/>
      <c r="Z24" s="58"/>
      <c r="AA24" s="58"/>
      <c r="AB24" s="58">
        <f>SUM(AB22:AB23)</f>
        <v>2.5666666666666664</v>
      </c>
      <c r="AC24" s="108"/>
    </row>
    <row r="25" spans="2:32" x14ac:dyDescent="0.35">
      <c r="P25" s="51"/>
      <c r="AD25"/>
      <c r="AF25" s="3"/>
    </row>
    <row r="26" spans="2:32" x14ac:dyDescent="0.35">
      <c r="O26" s="51"/>
      <c r="P26" s="51"/>
      <c r="AD26"/>
      <c r="AF26" s="3"/>
    </row>
    <row r="27" spans="2:32" x14ac:dyDescent="0.35">
      <c r="F27" s="112" t="s">
        <v>280</v>
      </c>
      <c r="G27" s="113" t="s">
        <v>293</v>
      </c>
      <c r="H27" s="113"/>
      <c r="I27" s="113"/>
      <c r="J27" s="113"/>
      <c r="K27" s="113"/>
      <c r="O27" s="51"/>
      <c r="P27" s="100"/>
      <c r="AD27"/>
      <c r="AF27" s="3"/>
    </row>
    <row r="28" spans="2:32" s="3" customFormat="1" hidden="1" x14ac:dyDescent="0.35">
      <c r="B28"/>
      <c r="E28" s="11"/>
      <c r="F28" s="114" t="s">
        <v>137</v>
      </c>
      <c r="G28" s="113"/>
      <c r="H28" s="113"/>
      <c r="I28" s="113"/>
      <c r="J28" s="113"/>
      <c r="K28" s="11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/>
    </row>
    <row r="29" spans="2:32" s="3" customFormat="1" hidden="1" x14ac:dyDescent="0.35">
      <c r="B29"/>
      <c r="E29" s="13"/>
      <c r="F29" s="115" t="s">
        <v>150</v>
      </c>
      <c r="G29" s="113"/>
      <c r="H29" s="113"/>
      <c r="I29" s="113"/>
      <c r="J29" s="113"/>
      <c r="K29" s="11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2:32" s="6" customFormat="1" hidden="1" x14ac:dyDescent="0.35">
      <c r="B30"/>
      <c r="C30" s="3"/>
      <c r="D30" s="3"/>
      <c r="E30" s="84"/>
      <c r="F30" s="116" t="s">
        <v>139</v>
      </c>
      <c r="G30" s="113"/>
      <c r="H30" s="113"/>
      <c r="I30" s="113"/>
      <c r="J30" s="113"/>
      <c r="K30" s="113"/>
      <c r="AD30" s="3"/>
      <c r="AE30" s="3"/>
    </row>
    <row r="31" spans="2:32" s="6" customFormat="1" hidden="1" x14ac:dyDescent="0.35">
      <c r="B31"/>
      <c r="C31" s="3"/>
      <c r="D31" s="3"/>
      <c r="E31" s="41"/>
      <c r="F31" s="115" t="s">
        <v>22</v>
      </c>
      <c r="G31" s="113"/>
      <c r="H31" s="113"/>
      <c r="I31" s="113"/>
      <c r="J31" s="113"/>
      <c r="K31" s="113"/>
      <c r="AD31" s="3"/>
      <c r="AE31" s="3"/>
    </row>
    <row r="32" spans="2:32" s="6" customFormat="1" x14ac:dyDescent="0.35">
      <c r="B32"/>
      <c r="C32" s="3"/>
      <c r="D32" s="3"/>
      <c r="F32" s="117" t="s">
        <v>281</v>
      </c>
      <c r="G32" s="113">
        <v>3</v>
      </c>
      <c r="H32" s="113">
        <f>G32*60</f>
        <v>180</v>
      </c>
      <c r="I32" s="113"/>
      <c r="J32" s="113"/>
      <c r="K32" s="113"/>
      <c r="AD32" s="3"/>
      <c r="AE32" s="3"/>
      <c r="AF32"/>
    </row>
    <row r="33" spans="2:32" s="6" customFormat="1" x14ac:dyDescent="0.35">
      <c r="B33"/>
      <c r="C33" s="3"/>
      <c r="D33" s="3"/>
      <c r="F33" s="117" t="s">
        <v>282</v>
      </c>
      <c r="G33" s="113">
        <v>2</v>
      </c>
      <c r="H33" s="113">
        <f>G33*60</f>
        <v>120</v>
      </c>
      <c r="I33" s="113"/>
      <c r="J33" s="113"/>
      <c r="K33" s="113"/>
      <c r="AD33" s="3"/>
      <c r="AE33" s="3"/>
      <c r="AF33"/>
    </row>
    <row r="34" spans="2:32" s="6" customFormat="1" x14ac:dyDescent="0.35">
      <c r="B34"/>
      <c r="C34" s="3"/>
      <c r="D34" s="3"/>
      <c r="F34" s="112" t="s">
        <v>283</v>
      </c>
      <c r="G34" s="113"/>
      <c r="H34" s="113"/>
      <c r="I34" s="113"/>
      <c r="J34" s="113"/>
      <c r="K34" s="113"/>
      <c r="AD34" s="3"/>
      <c r="AE34" s="3"/>
      <c r="AF34"/>
    </row>
    <row r="35" spans="2:32" s="6" customFormat="1" x14ac:dyDescent="0.35">
      <c r="B35"/>
      <c r="C35" s="3"/>
      <c r="D35" s="3"/>
      <c r="F35" s="117" t="s">
        <v>284</v>
      </c>
      <c r="G35" s="113">
        <v>2</v>
      </c>
      <c r="H35" s="113">
        <f t="shared" ref="H35:H44" si="13">G35*60</f>
        <v>120</v>
      </c>
      <c r="I35" s="113"/>
      <c r="J35" s="113"/>
      <c r="K35" s="113"/>
      <c r="AD35" s="3"/>
      <c r="AE35" s="3"/>
      <c r="AF35"/>
    </row>
    <row r="36" spans="2:32" s="6" customFormat="1" x14ac:dyDescent="0.35">
      <c r="B36"/>
      <c r="C36" s="3"/>
      <c r="D36" s="3"/>
      <c r="F36" s="117" t="s">
        <v>285</v>
      </c>
      <c r="G36" s="113">
        <v>3</v>
      </c>
      <c r="H36" s="113">
        <f t="shared" si="13"/>
        <v>180</v>
      </c>
      <c r="I36" s="113" t="s">
        <v>298</v>
      </c>
      <c r="J36" s="113">
        <f>8*8*22</f>
        <v>1408</v>
      </c>
      <c r="K36" s="113"/>
      <c r="AD36" s="3"/>
      <c r="AE36" s="3"/>
      <c r="AF36"/>
    </row>
    <row r="37" spans="2:32" s="6" customFormat="1" ht="29" x14ac:dyDescent="0.35">
      <c r="B37"/>
      <c r="C37" s="3"/>
      <c r="D37" s="3"/>
      <c r="F37" s="117" t="s">
        <v>286</v>
      </c>
      <c r="G37" s="113">
        <v>5</v>
      </c>
      <c r="H37" s="113">
        <f t="shared" si="13"/>
        <v>300</v>
      </c>
      <c r="I37" s="113" t="s">
        <v>299</v>
      </c>
      <c r="J37" s="118">
        <f>J36/(225*10)</f>
        <v>0.62577777777777777</v>
      </c>
      <c r="K37" s="113" t="s">
        <v>301</v>
      </c>
      <c r="AD37" s="3"/>
      <c r="AE37" s="3"/>
      <c r="AF37"/>
    </row>
    <row r="38" spans="2:32" s="6" customFormat="1" x14ac:dyDescent="0.35">
      <c r="B38"/>
      <c r="C38" s="3"/>
      <c r="D38" s="3"/>
      <c r="F38" s="112" t="s">
        <v>287</v>
      </c>
      <c r="G38" s="113">
        <v>5</v>
      </c>
      <c r="H38" s="113">
        <f t="shared" si="13"/>
        <v>300</v>
      </c>
      <c r="I38" s="113" t="s">
        <v>300</v>
      </c>
      <c r="J38" s="118">
        <f>J37*60</f>
        <v>37.546666666666667</v>
      </c>
      <c r="K38" s="113"/>
      <c r="AD38" s="3"/>
      <c r="AE38" s="3"/>
      <c r="AF38"/>
    </row>
    <row r="39" spans="2:32" s="6" customFormat="1" x14ac:dyDescent="0.35">
      <c r="B39"/>
      <c r="C39" s="3"/>
      <c r="D39" s="3"/>
      <c r="F39" s="112" t="s">
        <v>288</v>
      </c>
      <c r="G39" s="113">
        <v>5</v>
      </c>
      <c r="H39" s="113">
        <f t="shared" si="13"/>
        <v>300</v>
      </c>
      <c r="I39" s="113"/>
      <c r="J39" s="113"/>
      <c r="K39" s="113"/>
      <c r="AD39" s="3"/>
      <c r="AE39" s="3"/>
      <c r="AF39"/>
    </row>
    <row r="40" spans="2:32" s="6" customFormat="1" x14ac:dyDescent="0.35">
      <c r="B40"/>
      <c r="C40" s="3"/>
      <c r="D40" s="3"/>
      <c r="F40" s="112" t="s">
        <v>289</v>
      </c>
      <c r="G40" s="113">
        <v>5</v>
      </c>
      <c r="H40" s="113">
        <f t="shared" si="13"/>
        <v>300</v>
      </c>
      <c r="I40" s="113"/>
      <c r="J40" s="113"/>
      <c r="K40" s="113"/>
      <c r="AD40" s="3"/>
      <c r="AE40" s="3"/>
      <c r="AF40"/>
    </row>
    <row r="41" spans="2:32" s="6" customFormat="1" x14ac:dyDescent="0.35">
      <c r="B41"/>
      <c r="C41" s="3"/>
      <c r="D41" s="3"/>
      <c r="F41" s="112" t="s">
        <v>291</v>
      </c>
      <c r="G41" s="113">
        <v>5</v>
      </c>
      <c r="H41" s="113">
        <f t="shared" si="13"/>
        <v>300</v>
      </c>
      <c r="I41" s="113"/>
      <c r="J41" s="113"/>
      <c r="K41" s="113"/>
      <c r="AD41" s="3"/>
      <c r="AE41" s="3"/>
      <c r="AF41"/>
    </row>
    <row r="42" spans="2:32" s="6" customFormat="1" x14ac:dyDescent="0.35">
      <c r="B42"/>
      <c r="C42" s="3"/>
      <c r="D42" s="3"/>
      <c r="F42" s="112" t="s">
        <v>290</v>
      </c>
      <c r="G42" s="113">
        <v>5</v>
      </c>
      <c r="H42" s="113">
        <f t="shared" si="13"/>
        <v>300</v>
      </c>
      <c r="I42" s="113"/>
      <c r="J42" s="113"/>
      <c r="K42" s="113"/>
      <c r="AD42" s="3"/>
      <c r="AE42" s="3"/>
      <c r="AF42"/>
    </row>
    <row r="43" spans="2:32" s="6" customFormat="1" x14ac:dyDescent="0.35">
      <c r="B43"/>
      <c r="C43" s="3"/>
      <c r="D43" s="3"/>
      <c r="F43" s="112" t="s">
        <v>292</v>
      </c>
      <c r="G43" s="113">
        <v>5</v>
      </c>
      <c r="H43" s="113">
        <f t="shared" si="13"/>
        <v>300</v>
      </c>
      <c r="I43" s="113"/>
      <c r="J43" s="113"/>
      <c r="K43" s="113"/>
      <c r="AD43" s="3"/>
      <c r="AE43" s="3"/>
      <c r="AF43"/>
    </row>
    <row r="44" spans="2:32" s="6" customFormat="1" x14ac:dyDescent="0.35">
      <c r="B44"/>
      <c r="C44" s="3"/>
      <c r="D44" s="3"/>
      <c r="F44" s="112"/>
      <c r="G44" s="113">
        <f>SUM(G32:G43)</f>
        <v>45</v>
      </c>
      <c r="H44" s="113">
        <f t="shared" si="13"/>
        <v>2700</v>
      </c>
      <c r="I44" s="113"/>
      <c r="J44" s="113"/>
      <c r="K44" s="113"/>
      <c r="AD44" s="3"/>
      <c r="AE44" s="3"/>
      <c r="AF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BBB0-CDB0-480B-A746-6280A41C7971}">
  <dimension ref="B2:F25"/>
  <sheetViews>
    <sheetView tabSelected="1" workbookViewId="0">
      <selection activeCell="B9" sqref="B9:C23"/>
    </sheetView>
  </sheetViews>
  <sheetFormatPr defaultRowHeight="14.5" x14ac:dyDescent="0.35"/>
  <cols>
    <col min="2" max="2" width="42.54296875" bestFit="1" customWidth="1"/>
    <col min="3" max="3" width="22.54296875" bestFit="1" customWidth="1"/>
    <col min="4" max="4" width="20.7265625" bestFit="1" customWidth="1"/>
    <col min="5" max="5" width="12.81640625" bestFit="1" customWidth="1"/>
  </cols>
  <sheetData>
    <row r="2" spans="2:6" ht="29" x14ac:dyDescent="0.35">
      <c r="B2" s="152" t="s">
        <v>342</v>
      </c>
      <c r="C2" s="152" t="s">
        <v>356</v>
      </c>
      <c r="D2" s="152" t="s">
        <v>337</v>
      </c>
      <c r="E2" s="152" t="s">
        <v>343</v>
      </c>
    </row>
    <row r="3" spans="2:6" x14ac:dyDescent="0.35">
      <c r="B3" s="9" t="s">
        <v>268</v>
      </c>
      <c r="C3" s="9">
        <v>235</v>
      </c>
      <c r="D3" s="133">
        <v>52</v>
      </c>
      <c r="E3" s="148">
        <f>(C3*D3)/8880</f>
        <v>1.3761261261261262</v>
      </c>
    </row>
    <row r="4" spans="2:6" x14ac:dyDescent="0.35">
      <c r="B4" s="9" t="s">
        <v>338</v>
      </c>
      <c r="C4" s="9">
        <v>235</v>
      </c>
      <c r="D4" s="133">
        <v>51</v>
      </c>
      <c r="E4" s="148">
        <f t="shared" ref="E4:E5" si="0">(C4*D4)/8880</f>
        <v>1.3496621621621621</v>
      </c>
    </row>
    <row r="5" spans="2:6" x14ac:dyDescent="0.35">
      <c r="B5" s="9" t="s">
        <v>339</v>
      </c>
      <c r="C5" s="9">
        <v>235</v>
      </c>
      <c r="D5" s="133">
        <v>92.048888888888897</v>
      </c>
      <c r="E5" s="148">
        <f t="shared" si="0"/>
        <v>2.4359784784784786</v>
      </c>
    </row>
    <row r="6" spans="2:6" x14ac:dyDescent="0.35">
      <c r="B6" s="153" t="s">
        <v>340</v>
      </c>
      <c r="C6" s="153">
        <f>AVERAGE(C3:C5)</f>
        <v>235</v>
      </c>
      <c r="D6" s="154">
        <f>SUM(D3:D5)</f>
        <v>195.04888888888888</v>
      </c>
      <c r="E6" s="155">
        <f>SUM(E3:E5)</f>
        <v>5.1617667667667666</v>
      </c>
      <c r="F6" s="140"/>
    </row>
    <row r="7" spans="2:6" x14ac:dyDescent="0.35">
      <c r="E7" s="138"/>
    </row>
    <row r="9" spans="2:6" ht="60" customHeight="1" x14ac:dyDescent="0.35">
      <c r="B9" s="156" t="s">
        <v>317</v>
      </c>
      <c r="C9" s="156" t="s">
        <v>357</v>
      </c>
    </row>
    <row r="10" spans="2:6" x14ac:dyDescent="0.35">
      <c r="B10" s="132" t="s">
        <v>353</v>
      </c>
      <c r="C10" s="139">
        <f>D6</f>
        <v>195.04888888888888</v>
      </c>
    </row>
    <row r="11" spans="2:6" x14ac:dyDescent="0.35">
      <c r="B11" s="132" t="s">
        <v>358</v>
      </c>
      <c r="C11" s="139">
        <v>20</v>
      </c>
    </row>
    <row r="12" spans="2:6" x14ac:dyDescent="0.35">
      <c r="B12" s="132" t="s">
        <v>344</v>
      </c>
      <c r="C12" s="139">
        <v>235</v>
      </c>
    </row>
    <row r="13" spans="2:6" x14ac:dyDescent="0.35">
      <c r="B13" s="132" t="s">
        <v>354</v>
      </c>
      <c r="C13" s="139">
        <f>C12*C10</f>
        <v>45836.488888888889</v>
      </c>
    </row>
    <row r="14" spans="2:6" x14ac:dyDescent="0.35">
      <c r="B14" s="132" t="s">
        <v>345</v>
      </c>
      <c r="C14" s="139">
        <v>8880</v>
      </c>
    </row>
    <row r="15" spans="2:6" x14ac:dyDescent="0.35">
      <c r="B15" s="132" t="s">
        <v>347</v>
      </c>
      <c r="C15" s="139">
        <v>8</v>
      </c>
    </row>
    <row r="16" spans="2:6" x14ac:dyDescent="0.35">
      <c r="B16" s="132" t="s">
        <v>348</v>
      </c>
      <c r="C16" s="139">
        <f>C13/C14</f>
        <v>5.1617667667667666</v>
      </c>
    </row>
    <row r="17" spans="2:3" x14ac:dyDescent="0.35">
      <c r="B17" s="141" t="s">
        <v>349</v>
      </c>
      <c r="C17" s="142">
        <f>C15-C16</f>
        <v>2.8382332332332334</v>
      </c>
    </row>
    <row r="18" spans="2:3" x14ac:dyDescent="0.35">
      <c r="B18" s="143" t="s">
        <v>350</v>
      </c>
      <c r="C18" s="144">
        <f>1-C11/C10</f>
        <v>0.89746160506767536</v>
      </c>
    </row>
    <row r="19" spans="2:3" x14ac:dyDescent="0.35">
      <c r="B19" s="141" t="s">
        <v>346</v>
      </c>
      <c r="C19" s="142">
        <f>C16*C18</f>
        <v>4.6324874874874871</v>
      </c>
    </row>
    <row r="20" spans="2:3" x14ac:dyDescent="0.35">
      <c r="B20" s="145" t="s">
        <v>352</v>
      </c>
      <c r="C20" s="146">
        <f>C16-C19</f>
        <v>0.52927927927927954</v>
      </c>
    </row>
    <row r="21" spans="2:3" x14ac:dyDescent="0.35">
      <c r="B21" s="141" t="s">
        <v>341</v>
      </c>
      <c r="C21" s="142">
        <f>C19+C17</f>
        <v>7.4707207207207205</v>
      </c>
    </row>
    <row r="22" spans="2:3" x14ac:dyDescent="0.35">
      <c r="B22" s="134" t="s">
        <v>351</v>
      </c>
      <c r="C22" s="147">
        <v>1481</v>
      </c>
    </row>
    <row r="23" spans="2:3" x14ac:dyDescent="0.35">
      <c r="B23" s="132" t="s">
        <v>355</v>
      </c>
      <c r="C23" s="135">
        <f>C21*C22*12</f>
        <v>132769.64864864864</v>
      </c>
    </row>
    <row r="25" spans="2:3" x14ac:dyDescent="0.35">
      <c r="C25" s="1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7CB8-E504-4288-9E33-4F4C52A1E03F}">
  <dimension ref="B1:T35"/>
  <sheetViews>
    <sheetView showGridLines="0" topLeftCell="G1" zoomScale="87" zoomScaleNormal="87" workbookViewId="0">
      <selection activeCell="P34" sqref="P34"/>
    </sheetView>
  </sheetViews>
  <sheetFormatPr defaultColWidth="8.81640625" defaultRowHeight="14.5" x14ac:dyDescent="0.35"/>
  <cols>
    <col min="1" max="1" width="2.81640625" style="122" customWidth="1"/>
    <col min="2" max="2" width="7.7265625" style="122" customWidth="1"/>
    <col min="3" max="3" width="4.1796875" style="123" customWidth="1"/>
    <col min="4" max="4" width="21.54296875" style="123" hidden="1" customWidth="1"/>
    <col min="5" max="5" width="11.81640625" style="124" hidden="1" customWidth="1"/>
    <col min="6" max="6" width="10.81640625" style="124" bestFit="1" customWidth="1"/>
    <col min="7" max="7" width="16.81640625" style="124" customWidth="1"/>
    <col min="8" max="8" width="35.81640625" style="125" bestFit="1" customWidth="1"/>
    <col min="9" max="9" width="15.453125" style="124" bestFit="1" customWidth="1"/>
    <col min="10" max="10" width="19" style="124" bestFit="1" customWidth="1"/>
    <col min="11" max="11" width="16.26953125" style="124" customWidth="1"/>
    <col min="12" max="12" width="17.54296875" style="124" customWidth="1"/>
    <col min="13" max="13" width="14.26953125" style="124" bestFit="1" customWidth="1"/>
    <col min="14" max="14" width="11.54296875" style="124" bestFit="1" customWidth="1"/>
    <col min="15" max="15" width="12.1796875" style="124" bestFit="1" customWidth="1"/>
    <col min="16" max="18" width="14.453125" style="124" customWidth="1"/>
    <col min="19" max="19" width="22.453125" style="123" customWidth="1"/>
    <col min="20" max="20" width="17.7265625" style="123" customWidth="1"/>
    <col min="21" max="16384" width="8.81640625" style="122"/>
  </cols>
  <sheetData>
    <row r="1" spans="2:20" customFormat="1" ht="15" thickBot="1" x14ac:dyDescent="0.4">
      <c r="C1" s="3"/>
      <c r="D1" s="3"/>
      <c r="E1" s="6"/>
      <c r="F1" s="6"/>
      <c r="G1" s="6"/>
      <c r="H1" s="2"/>
      <c r="I1" s="6"/>
      <c r="J1" s="6"/>
      <c r="K1" s="6"/>
      <c r="L1" s="6"/>
      <c r="M1" s="6"/>
      <c r="N1" s="6"/>
      <c r="O1" s="6"/>
      <c r="P1" s="6"/>
      <c r="Q1" s="6"/>
      <c r="R1" s="6"/>
      <c r="S1" s="3"/>
      <c r="T1" s="3"/>
    </row>
    <row r="2" spans="2:20" customFormat="1" x14ac:dyDescent="0.35">
      <c r="B2" s="42"/>
      <c r="C2" s="43"/>
      <c r="D2" s="43"/>
      <c r="E2" s="44"/>
      <c r="F2" s="44"/>
      <c r="G2" s="44"/>
      <c r="H2" s="45"/>
      <c r="I2" s="44"/>
      <c r="J2" s="44"/>
      <c r="K2" s="44"/>
      <c r="L2" s="44"/>
      <c r="M2" s="44"/>
      <c r="N2" s="44"/>
      <c r="O2" s="44"/>
      <c r="P2" s="44"/>
      <c r="Q2" s="44"/>
      <c r="R2" s="105"/>
      <c r="S2" s="3"/>
      <c r="T2" s="3"/>
    </row>
    <row r="3" spans="2:20" customFormat="1" x14ac:dyDescent="0.35">
      <c r="B3" s="47"/>
      <c r="C3" s="3"/>
      <c r="D3" s="3"/>
      <c r="E3" s="6"/>
      <c r="F3" s="6"/>
      <c r="G3" s="6"/>
      <c r="H3" s="69"/>
      <c r="I3" s="69"/>
      <c r="J3" s="6"/>
      <c r="K3" s="6"/>
      <c r="L3" s="6"/>
      <c r="M3" s="6"/>
      <c r="N3" s="6"/>
      <c r="O3" s="6"/>
      <c r="P3" s="124"/>
      <c r="R3" s="102"/>
    </row>
    <row r="4" spans="2:20" customFormat="1" x14ac:dyDescent="0.35">
      <c r="B4" s="47"/>
      <c r="C4" s="3"/>
      <c r="D4" s="3"/>
      <c r="E4" s="6"/>
      <c r="F4" s="6"/>
      <c r="G4" s="6"/>
      <c r="H4" s="70"/>
      <c r="I4" s="126">
        <f>7.5*60*60*8</f>
        <v>216000</v>
      </c>
      <c r="J4" s="6"/>
      <c r="K4" s="6"/>
      <c r="L4" s="6"/>
      <c r="M4" s="6"/>
      <c r="N4" s="6"/>
      <c r="O4" s="6"/>
      <c r="P4" s="124"/>
      <c r="R4" s="102"/>
    </row>
    <row r="5" spans="2:20" customFormat="1" x14ac:dyDescent="0.35">
      <c r="B5" s="47"/>
      <c r="C5" s="3"/>
      <c r="D5" s="3"/>
      <c r="E5" s="6"/>
      <c r="F5" s="6"/>
      <c r="G5" s="6"/>
      <c r="H5" s="2"/>
      <c r="I5" s="6"/>
      <c r="J5" s="6"/>
      <c r="K5" s="6"/>
      <c r="L5" s="6"/>
      <c r="M5" s="6"/>
      <c r="N5" s="6"/>
      <c r="O5" s="6"/>
      <c r="P5" s="6"/>
      <c r="Q5" s="6"/>
      <c r="R5" s="101"/>
      <c r="S5" s="3"/>
      <c r="T5" s="3"/>
    </row>
    <row r="6" spans="2:20" customFormat="1" x14ac:dyDescent="0.35">
      <c r="B6" s="47"/>
      <c r="C6" s="3"/>
      <c r="D6" s="3"/>
      <c r="E6" s="6"/>
      <c r="F6" s="6"/>
      <c r="G6" s="6"/>
      <c r="H6" s="2"/>
      <c r="I6" s="6"/>
      <c r="J6" s="6"/>
      <c r="K6" s="6"/>
      <c r="L6" s="6"/>
      <c r="M6" s="6"/>
      <c r="N6" s="6"/>
      <c r="O6" s="6"/>
      <c r="P6" s="6"/>
      <c r="Q6" s="6"/>
      <c r="R6" s="101"/>
      <c r="S6" s="3"/>
      <c r="T6" s="3"/>
    </row>
    <row r="7" spans="2:20" customFormat="1" x14ac:dyDescent="0.35">
      <c r="B7" s="47"/>
      <c r="C7" s="3"/>
      <c r="D7" s="3"/>
      <c r="E7" s="6"/>
      <c r="F7" s="6"/>
      <c r="G7" s="6"/>
      <c r="H7" s="2"/>
      <c r="I7" s="6"/>
      <c r="J7" s="6"/>
      <c r="K7" s="109"/>
      <c r="L7" s="109"/>
      <c r="M7" s="6"/>
      <c r="N7" s="6"/>
      <c r="O7" s="6"/>
      <c r="P7" s="6"/>
      <c r="Q7" s="6"/>
      <c r="R7" s="101"/>
      <c r="S7" s="3"/>
      <c r="T7" s="3"/>
    </row>
    <row r="8" spans="2:20" customFormat="1" ht="29" x14ac:dyDescent="0.35">
      <c r="B8" s="47"/>
      <c r="C8" s="5" t="s">
        <v>127</v>
      </c>
      <c r="D8" s="50" t="s">
        <v>265</v>
      </c>
      <c r="E8" s="50" t="s">
        <v>3</v>
      </c>
      <c r="F8" s="50" t="s">
        <v>311</v>
      </c>
      <c r="G8" s="5" t="s">
        <v>318</v>
      </c>
      <c r="H8" s="5" t="s">
        <v>273</v>
      </c>
      <c r="I8" s="5" t="s">
        <v>1</v>
      </c>
      <c r="J8" s="5" t="s">
        <v>136</v>
      </c>
      <c r="K8" s="5" t="s">
        <v>310</v>
      </c>
      <c r="L8" s="5" t="s">
        <v>70</v>
      </c>
      <c r="M8" s="5" t="s">
        <v>109</v>
      </c>
      <c r="N8" s="5" t="s">
        <v>110</v>
      </c>
      <c r="O8" s="5" t="s">
        <v>105</v>
      </c>
      <c r="P8" s="5" t="s">
        <v>271</v>
      </c>
      <c r="Q8" s="5" t="s">
        <v>272</v>
      </c>
      <c r="R8" s="102"/>
    </row>
    <row r="9" spans="2:20" customFormat="1" ht="28.5" customHeight="1" x14ac:dyDescent="0.35">
      <c r="B9" s="47"/>
      <c r="C9" s="82">
        <v>1</v>
      </c>
      <c r="D9" s="82"/>
      <c r="E9" s="41"/>
      <c r="F9" s="41" t="s">
        <v>312</v>
      </c>
      <c r="G9" s="41" t="s">
        <v>250</v>
      </c>
      <c r="H9" s="136" t="s">
        <v>334</v>
      </c>
      <c r="I9" s="41" t="s">
        <v>43</v>
      </c>
      <c r="J9" s="41" t="s">
        <v>137</v>
      </c>
      <c r="K9" s="41" t="s">
        <v>146</v>
      </c>
      <c r="L9" s="41" t="s">
        <v>307</v>
      </c>
      <c r="M9" s="41" t="s">
        <v>22</v>
      </c>
      <c r="N9" s="41" t="s">
        <v>22</v>
      </c>
      <c r="O9" s="41" t="s">
        <v>22</v>
      </c>
      <c r="P9" s="41" t="s">
        <v>22</v>
      </c>
      <c r="Q9" s="41" t="s">
        <v>22</v>
      </c>
      <c r="R9" s="102"/>
    </row>
    <row r="10" spans="2:20" customFormat="1" x14ac:dyDescent="0.35">
      <c r="B10" s="47"/>
      <c r="C10" s="82">
        <v>2</v>
      </c>
      <c r="D10" s="82"/>
      <c r="E10" s="41"/>
      <c r="F10" s="41" t="s">
        <v>261</v>
      </c>
      <c r="G10" s="41" t="s">
        <v>252</v>
      </c>
      <c r="H10" s="136" t="s">
        <v>281</v>
      </c>
      <c r="I10" s="41" t="s">
        <v>43</v>
      </c>
      <c r="J10" s="41" t="s">
        <v>137</v>
      </c>
      <c r="K10" s="41" t="s">
        <v>267</v>
      </c>
      <c r="L10" s="41" t="s">
        <v>307</v>
      </c>
      <c r="M10" s="41">
        <v>160</v>
      </c>
      <c r="N10" s="41">
        <v>0</v>
      </c>
      <c r="O10" s="7">
        <v>1</v>
      </c>
      <c r="P10" s="82">
        <f>O10*M10</f>
        <v>160</v>
      </c>
      <c r="Q10" s="82">
        <f>O10*N10</f>
        <v>0</v>
      </c>
      <c r="R10" s="102"/>
    </row>
    <row r="11" spans="2:20" customFormat="1" ht="29" x14ac:dyDescent="0.35">
      <c r="B11" s="47"/>
      <c r="C11" s="82">
        <v>3</v>
      </c>
      <c r="D11" s="82"/>
      <c r="E11" s="41"/>
      <c r="F11" s="41" t="s">
        <v>261</v>
      </c>
      <c r="G11" s="41" t="s">
        <v>320</v>
      </c>
      <c r="H11" s="136" t="s">
        <v>295</v>
      </c>
      <c r="I11" s="41" t="s">
        <v>43</v>
      </c>
      <c r="J11" s="41" t="s">
        <v>137</v>
      </c>
      <c r="K11" s="82" t="s">
        <v>267</v>
      </c>
      <c r="L11" s="41" t="s">
        <v>307</v>
      </c>
      <c r="M11" s="41">
        <v>160</v>
      </c>
      <c r="N11" s="41">
        <v>0</v>
      </c>
      <c r="O11" s="7">
        <v>1</v>
      </c>
      <c r="P11" s="82">
        <f t="shared" ref="P11:P20" si="0">O11*M11</f>
        <v>160</v>
      </c>
      <c r="Q11" s="82">
        <f t="shared" ref="Q11:Q20" si="1">O11*N11</f>
        <v>0</v>
      </c>
      <c r="R11" s="102"/>
    </row>
    <row r="12" spans="2:20" customFormat="1" x14ac:dyDescent="0.35">
      <c r="B12" s="47"/>
      <c r="C12" s="82">
        <v>4</v>
      </c>
      <c r="D12" s="82"/>
      <c r="E12" s="41"/>
      <c r="F12" s="41" t="s">
        <v>261</v>
      </c>
      <c r="G12" s="41" t="s">
        <v>319</v>
      </c>
      <c r="H12" s="136" t="s">
        <v>284</v>
      </c>
      <c r="I12" s="82" t="s">
        <v>43</v>
      </c>
      <c r="J12" s="41" t="s">
        <v>137</v>
      </c>
      <c r="K12" s="82" t="s">
        <v>267</v>
      </c>
      <c r="L12" s="41" t="s">
        <v>308</v>
      </c>
      <c r="M12" s="41">
        <v>150</v>
      </c>
      <c r="N12" s="41">
        <v>0</v>
      </c>
      <c r="O12" s="7">
        <v>1</v>
      </c>
      <c r="P12" s="82">
        <f t="shared" si="0"/>
        <v>150</v>
      </c>
      <c r="Q12" s="82">
        <f t="shared" si="1"/>
        <v>0</v>
      </c>
      <c r="R12" s="102"/>
    </row>
    <row r="13" spans="2:20" customFormat="1" ht="29" x14ac:dyDescent="0.35">
      <c r="B13" s="47"/>
      <c r="C13" s="82">
        <v>5</v>
      </c>
      <c r="D13" s="82"/>
      <c r="E13" s="41"/>
      <c r="F13" s="41" t="s">
        <v>261</v>
      </c>
      <c r="G13" s="41" t="s">
        <v>321</v>
      </c>
      <c r="H13" s="137" t="s">
        <v>285</v>
      </c>
      <c r="I13" s="82" t="s">
        <v>43</v>
      </c>
      <c r="J13" s="41" t="s">
        <v>137</v>
      </c>
      <c r="K13" s="82" t="s">
        <v>267</v>
      </c>
      <c r="L13" s="41" t="s">
        <v>308</v>
      </c>
      <c r="M13" s="41">
        <v>180</v>
      </c>
      <c r="N13" s="41">
        <v>0</v>
      </c>
      <c r="O13" s="7">
        <v>1</v>
      </c>
      <c r="P13" s="82">
        <f t="shared" si="0"/>
        <v>180</v>
      </c>
      <c r="Q13" s="82">
        <f t="shared" si="1"/>
        <v>0</v>
      </c>
      <c r="R13" s="102"/>
    </row>
    <row r="14" spans="2:20" customFormat="1" x14ac:dyDescent="0.35">
      <c r="B14" s="47"/>
      <c r="C14" s="82">
        <v>6</v>
      </c>
      <c r="D14" s="82"/>
      <c r="E14" s="41"/>
      <c r="F14" s="41" t="s">
        <v>261</v>
      </c>
      <c r="G14" s="41" t="s">
        <v>255</v>
      </c>
      <c r="H14" s="137" t="s">
        <v>286</v>
      </c>
      <c r="I14" s="82" t="s">
        <v>43</v>
      </c>
      <c r="J14" s="41" t="s">
        <v>137</v>
      </c>
      <c r="K14" s="82" t="s">
        <v>267</v>
      </c>
      <c r="L14" s="41" t="s">
        <v>308</v>
      </c>
      <c r="M14" s="41">
        <v>240</v>
      </c>
      <c r="N14" s="41">
        <v>0</v>
      </c>
      <c r="O14" s="7">
        <v>1</v>
      </c>
      <c r="P14" s="82">
        <f t="shared" si="0"/>
        <v>240</v>
      </c>
      <c r="Q14" s="82">
        <f t="shared" si="1"/>
        <v>0</v>
      </c>
      <c r="R14" s="102"/>
    </row>
    <row r="15" spans="2:20" customFormat="1" ht="43.5" x14ac:dyDescent="0.35">
      <c r="B15" s="47"/>
      <c r="C15" s="82">
        <v>7</v>
      </c>
      <c r="D15" s="82"/>
      <c r="E15" s="41"/>
      <c r="F15" s="41" t="s">
        <v>313</v>
      </c>
      <c r="G15" s="41" t="s">
        <v>322</v>
      </c>
      <c r="H15" s="136" t="s">
        <v>287</v>
      </c>
      <c r="I15" s="121" t="s">
        <v>302</v>
      </c>
      <c r="J15" s="41" t="s">
        <v>137</v>
      </c>
      <c r="K15" s="82" t="s">
        <v>146</v>
      </c>
      <c r="L15" s="41" t="s">
        <v>309</v>
      </c>
      <c r="M15" s="41">
        <v>900</v>
      </c>
      <c r="N15" s="41">
        <v>900</v>
      </c>
      <c r="O15" s="7">
        <v>0.3</v>
      </c>
      <c r="P15" s="82">
        <f t="shared" si="0"/>
        <v>270</v>
      </c>
      <c r="Q15" s="82">
        <f t="shared" si="1"/>
        <v>270</v>
      </c>
      <c r="R15" s="102"/>
    </row>
    <row r="16" spans="2:20" customFormat="1" x14ac:dyDescent="0.35">
      <c r="B16" s="47"/>
      <c r="C16" s="82">
        <v>8</v>
      </c>
      <c r="D16" s="82"/>
      <c r="E16" s="41"/>
      <c r="F16" s="41" t="s">
        <v>261</v>
      </c>
      <c r="G16" s="41" t="s">
        <v>259</v>
      </c>
      <c r="H16" s="136" t="s">
        <v>288</v>
      </c>
      <c r="I16" s="82" t="s">
        <v>43</v>
      </c>
      <c r="J16" s="41" t="s">
        <v>137</v>
      </c>
      <c r="K16" s="82" t="s">
        <v>267</v>
      </c>
      <c r="L16" s="41" t="s">
        <v>308</v>
      </c>
      <c r="M16" s="41">
        <v>240</v>
      </c>
      <c r="N16" s="41">
        <v>0</v>
      </c>
      <c r="O16" s="40">
        <v>1</v>
      </c>
      <c r="P16" s="82">
        <f t="shared" si="0"/>
        <v>240</v>
      </c>
      <c r="Q16" s="82">
        <f t="shared" si="1"/>
        <v>0</v>
      </c>
      <c r="R16" s="102"/>
    </row>
    <row r="17" spans="2:18" customFormat="1" x14ac:dyDescent="0.35">
      <c r="B17" s="47"/>
      <c r="C17" s="82">
        <v>9</v>
      </c>
      <c r="D17" s="82"/>
      <c r="E17" s="41"/>
      <c r="F17" s="41" t="s">
        <v>261</v>
      </c>
      <c r="G17" s="41" t="s">
        <v>266</v>
      </c>
      <c r="H17" s="136" t="s">
        <v>289</v>
      </c>
      <c r="I17" s="82" t="s">
        <v>43</v>
      </c>
      <c r="J17" s="41" t="s">
        <v>137</v>
      </c>
      <c r="K17" s="82" t="s">
        <v>267</v>
      </c>
      <c r="L17" s="41" t="s">
        <v>308</v>
      </c>
      <c r="M17" s="41">
        <v>240</v>
      </c>
      <c r="N17" s="41">
        <v>0</v>
      </c>
      <c r="O17" s="7">
        <v>1</v>
      </c>
      <c r="P17" s="82">
        <f t="shared" si="0"/>
        <v>240</v>
      </c>
      <c r="Q17" s="82">
        <f t="shared" si="1"/>
        <v>0</v>
      </c>
      <c r="R17" s="102"/>
    </row>
    <row r="18" spans="2:18" customFormat="1" ht="43.5" x14ac:dyDescent="0.35">
      <c r="B18" s="47"/>
      <c r="C18" s="82">
        <v>10</v>
      </c>
      <c r="D18" s="82"/>
      <c r="E18" s="41"/>
      <c r="F18" s="41" t="s">
        <v>314</v>
      </c>
      <c r="G18" s="41" t="s">
        <v>322</v>
      </c>
      <c r="H18" s="136" t="s">
        <v>291</v>
      </c>
      <c r="I18" s="121" t="s">
        <v>302</v>
      </c>
      <c r="J18" s="41" t="s">
        <v>137</v>
      </c>
      <c r="K18" s="82" t="s">
        <v>146</v>
      </c>
      <c r="L18" s="41" t="s">
        <v>309</v>
      </c>
      <c r="M18" s="41">
        <v>900</v>
      </c>
      <c r="N18" s="41">
        <v>900</v>
      </c>
      <c r="O18" s="7">
        <v>0.3</v>
      </c>
      <c r="P18" s="82">
        <f t="shared" si="0"/>
        <v>270</v>
      </c>
      <c r="Q18" s="82">
        <f t="shared" si="1"/>
        <v>270</v>
      </c>
      <c r="R18" s="102"/>
    </row>
    <row r="19" spans="2:18" customFormat="1" x14ac:dyDescent="0.35">
      <c r="B19" s="47"/>
      <c r="C19" s="82">
        <v>11</v>
      </c>
      <c r="D19" s="82"/>
      <c r="E19" s="41"/>
      <c r="F19" s="41" t="s">
        <v>261</v>
      </c>
      <c r="G19" s="41" t="s">
        <v>323</v>
      </c>
      <c r="H19" s="136" t="s">
        <v>290</v>
      </c>
      <c r="I19" s="82" t="s">
        <v>43</v>
      </c>
      <c r="J19" s="41" t="s">
        <v>137</v>
      </c>
      <c r="K19" s="82" t="s">
        <v>267</v>
      </c>
      <c r="L19" s="41" t="s">
        <v>307</v>
      </c>
      <c r="M19" s="41">
        <v>240</v>
      </c>
      <c r="N19" s="82">
        <v>0</v>
      </c>
      <c r="O19" s="7">
        <v>1</v>
      </c>
      <c r="P19" s="82">
        <f t="shared" si="0"/>
        <v>240</v>
      </c>
      <c r="Q19" s="82">
        <f t="shared" si="1"/>
        <v>0</v>
      </c>
      <c r="R19" s="102"/>
    </row>
    <row r="20" spans="2:18" customFormat="1" x14ac:dyDescent="0.35">
      <c r="B20" s="47"/>
      <c r="C20" s="82">
        <v>12</v>
      </c>
      <c r="D20" s="82"/>
      <c r="E20" s="41"/>
      <c r="F20" s="41" t="s">
        <v>261</v>
      </c>
      <c r="G20" s="41" t="s">
        <v>324</v>
      </c>
      <c r="H20" s="136" t="s">
        <v>292</v>
      </c>
      <c r="I20" s="82" t="s">
        <v>43</v>
      </c>
      <c r="J20" s="41" t="s">
        <v>137</v>
      </c>
      <c r="K20" s="82" t="s">
        <v>267</v>
      </c>
      <c r="L20" s="41" t="s">
        <v>307</v>
      </c>
      <c r="M20" s="41">
        <v>240</v>
      </c>
      <c r="N20" s="82">
        <v>0</v>
      </c>
      <c r="O20" s="7">
        <v>1</v>
      </c>
      <c r="P20" s="82">
        <f t="shared" si="0"/>
        <v>240</v>
      </c>
      <c r="Q20" s="82">
        <f t="shared" si="1"/>
        <v>0</v>
      </c>
      <c r="R20" s="102"/>
    </row>
    <row r="21" spans="2:18" customFormat="1" ht="29" x14ac:dyDescent="0.35">
      <c r="B21" s="47"/>
      <c r="C21" s="82">
        <v>13</v>
      </c>
      <c r="D21" s="82" t="s">
        <v>250</v>
      </c>
      <c r="E21" s="41" t="s">
        <v>262</v>
      </c>
      <c r="F21" s="41" t="s">
        <v>312</v>
      </c>
      <c r="G21" s="41" t="s">
        <v>326</v>
      </c>
      <c r="H21" s="136" t="s">
        <v>303</v>
      </c>
      <c r="I21" s="41" t="s">
        <v>43</v>
      </c>
      <c r="J21" s="41" t="s">
        <v>137</v>
      </c>
      <c r="K21" s="41" t="s">
        <v>146</v>
      </c>
      <c r="L21" s="41" t="s">
        <v>307</v>
      </c>
      <c r="M21" s="41"/>
      <c r="N21" s="41"/>
      <c r="O21" s="41"/>
      <c r="P21" s="41"/>
      <c r="Q21" s="41"/>
      <c r="R21" s="102"/>
    </row>
    <row r="22" spans="2:18" customFormat="1" x14ac:dyDescent="0.35">
      <c r="B22" s="47"/>
      <c r="C22" s="82">
        <v>14</v>
      </c>
      <c r="D22" s="82" t="s">
        <v>251</v>
      </c>
      <c r="E22" s="41" t="s">
        <v>261</v>
      </c>
      <c r="F22" s="41" t="s">
        <v>261</v>
      </c>
      <c r="G22" s="41" t="s">
        <v>325</v>
      </c>
      <c r="H22" s="136" t="s">
        <v>284</v>
      </c>
      <c r="I22" s="82" t="s">
        <v>43</v>
      </c>
      <c r="J22" s="41" t="s">
        <v>137</v>
      </c>
      <c r="K22" s="82" t="s">
        <v>267</v>
      </c>
      <c r="L22" s="41" t="s">
        <v>308</v>
      </c>
      <c r="M22" s="41">
        <v>150</v>
      </c>
      <c r="N22" s="82">
        <v>0</v>
      </c>
      <c r="O22" s="7">
        <v>1</v>
      </c>
      <c r="P22" s="82">
        <f>O22*M22</f>
        <v>150</v>
      </c>
      <c r="Q22" s="82">
        <f>O22*N22</f>
        <v>0</v>
      </c>
      <c r="R22" s="102"/>
    </row>
    <row r="23" spans="2:18" customFormat="1" x14ac:dyDescent="0.35">
      <c r="B23" s="47"/>
      <c r="C23" s="82">
        <v>15</v>
      </c>
      <c r="D23" s="82" t="s">
        <v>252</v>
      </c>
      <c r="E23" s="41" t="s">
        <v>261</v>
      </c>
      <c r="F23" s="41" t="s">
        <v>261</v>
      </c>
      <c r="G23" s="41" t="s">
        <v>327</v>
      </c>
      <c r="H23" s="136" t="s">
        <v>304</v>
      </c>
      <c r="I23" s="82" t="s">
        <v>43</v>
      </c>
      <c r="J23" s="41" t="s">
        <v>137</v>
      </c>
      <c r="K23" s="82" t="s">
        <v>267</v>
      </c>
      <c r="L23" s="41" t="s">
        <v>308</v>
      </c>
      <c r="M23" s="41">
        <v>120</v>
      </c>
      <c r="N23" s="82">
        <v>0</v>
      </c>
      <c r="O23" s="7">
        <v>1</v>
      </c>
      <c r="P23" s="82">
        <f>O23*M23</f>
        <v>120</v>
      </c>
      <c r="Q23" s="82">
        <f>O23*N23</f>
        <v>0</v>
      </c>
      <c r="R23" s="102"/>
    </row>
    <row r="24" spans="2:18" customFormat="1" x14ac:dyDescent="0.35">
      <c r="B24" s="47"/>
      <c r="C24" s="82">
        <v>16</v>
      </c>
      <c r="D24" s="82" t="s">
        <v>253</v>
      </c>
      <c r="E24" s="41" t="s">
        <v>261</v>
      </c>
      <c r="F24" s="41" t="s">
        <v>261</v>
      </c>
      <c r="G24" s="41" t="s">
        <v>328</v>
      </c>
      <c r="H24" s="136" t="s">
        <v>305</v>
      </c>
      <c r="I24" s="41" t="s">
        <v>43</v>
      </c>
      <c r="J24" s="41" t="s">
        <v>137</v>
      </c>
      <c r="K24" s="41" t="s">
        <v>267</v>
      </c>
      <c r="L24" s="41" t="s">
        <v>308</v>
      </c>
      <c r="M24" s="41">
        <v>180</v>
      </c>
      <c r="N24" s="82">
        <v>0</v>
      </c>
      <c r="O24" s="7">
        <v>1</v>
      </c>
      <c r="P24" s="82">
        <f t="shared" ref="P24:P32" si="2">O24*M24</f>
        <v>180</v>
      </c>
      <c r="Q24" s="82">
        <f t="shared" ref="Q24:Q32" si="3">O24*N24</f>
        <v>0</v>
      </c>
      <c r="R24" s="102"/>
    </row>
    <row r="25" spans="2:18" customFormat="1" ht="29" x14ac:dyDescent="0.35">
      <c r="B25" s="47"/>
      <c r="C25" s="82">
        <v>17</v>
      </c>
      <c r="D25" s="82" t="s">
        <v>254</v>
      </c>
      <c r="E25" s="41" t="s">
        <v>261</v>
      </c>
      <c r="F25" s="41" t="s">
        <v>261</v>
      </c>
      <c r="G25" s="41" t="s">
        <v>335</v>
      </c>
      <c r="H25" s="137" t="s">
        <v>306</v>
      </c>
      <c r="I25" s="82" t="s">
        <v>43</v>
      </c>
      <c r="J25" s="41" t="s">
        <v>137</v>
      </c>
      <c r="K25" s="82" t="s">
        <v>267</v>
      </c>
      <c r="L25" s="41" t="s">
        <v>308</v>
      </c>
      <c r="M25" s="41">
        <f>60*60</f>
        <v>3600</v>
      </c>
      <c r="N25" s="82">
        <v>0</v>
      </c>
      <c r="O25" s="7">
        <v>1</v>
      </c>
      <c r="P25" s="82">
        <f t="shared" si="2"/>
        <v>3600</v>
      </c>
      <c r="Q25" s="82">
        <f t="shared" si="3"/>
        <v>0</v>
      </c>
      <c r="R25" s="102"/>
    </row>
    <row r="26" spans="2:18" customFormat="1" ht="29" x14ac:dyDescent="0.35">
      <c r="B26" s="47"/>
      <c r="C26" s="82">
        <v>18</v>
      </c>
      <c r="D26" s="82"/>
      <c r="E26" s="41"/>
      <c r="F26" s="41" t="s">
        <v>261</v>
      </c>
      <c r="G26" s="41" t="s">
        <v>336</v>
      </c>
      <c r="H26" s="137" t="s">
        <v>306</v>
      </c>
      <c r="I26" s="82" t="s">
        <v>43</v>
      </c>
      <c r="J26" s="41" t="s">
        <v>137</v>
      </c>
      <c r="K26" s="82" t="s">
        <v>267</v>
      </c>
      <c r="L26" s="41" t="s">
        <v>308</v>
      </c>
      <c r="M26" s="41">
        <f>60*60</f>
        <v>3600</v>
      </c>
      <c r="N26" s="82">
        <v>0</v>
      </c>
      <c r="O26" s="7">
        <v>1</v>
      </c>
      <c r="P26" s="82">
        <f t="shared" si="2"/>
        <v>3600</v>
      </c>
      <c r="Q26" s="82">
        <f t="shared" si="3"/>
        <v>0</v>
      </c>
      <c r="R26" s="102"/>
    </row>
    <row r="27" spans="2:18" customFormat="1" x14ac:dyDescent="0.35">
      <c r="B27" s="47"/>
      <c r="C27" s="82">
        <v>19</v>
      </c>
      <c r="D27" s="82" t="s">
        <v>256</v>
      </c>
      <c r="E27" s="41" t="s">
        <v>261</v>
      </c>
      <c r="F27" s="41" t="s">
        <v>313</v>
      </c>
      <c r="G27" s="41" t="s">
        <v>330</v>
      </c>
      <c r="H27" s="136" t="s">
        <v>287</v>
      </c>
      <c r="I27" s="121" t="s">
        <v>302</v>
      </c>
      <c r="J27" s="41" t="s">
        <v>137</v>
      </c>
      <c r="K27" s="82" t="s">
        <v>146</v>
      </c>
      <c r="L27" s="41" t="s">
        <v>309</v>
      </c>
      <c r="M27" s="41">
        <v>900</v>
      </c>
      <c r="N27" s="41">
        <v>900</v>
      </c>
      <c r="O27" s="7">
        <v>0.3</v>
      </c>
      <c r="P27" s="82">
        <f t="shared" si="2"/>
        <v>270</v>
      </c>
      <c r="Q27" s="82">
        <f t="shared" si="3"/>
        <v>270</v>
      </c>
      <c r="R27" s="102"/>
    </row>
    <row r="28" spans="2:18" customFormat="1" ht="29" x14ac:dyDescent="0.35">
      <c r="B28" s="47"/>
      <c r="C28" s="82">
        <v>20</v>
      </c>
      <c r="D28" s="82" t="s">
        <v>257</v>
      </c>
      <c r="E28" s="41" t="s">
        <v>262</v>
      </c>
      <c r="F28" s="41" t="s">
        <v>261</v>
      </c>
      <c r="G28" s="41" t="s">
        <v>329</v>
      </c>
      <c r="H28" s="136" t="s">
        <v>288</v>
      </c>
      <c r="I28" s="82" t="s">
        <v>43</v>
      </c>
      <c r="J28" s="41" t="s">
        <v>137</v>
      </c>
      <c r="K28" s="82" t="s">
        <v>267</v>
      </c>
      <c r="L28" s="41" t="s">
        <v>308</v>
      </c>
      <c r="M28" s="41">
        <v>300</v>
      </c>
      <c r="N28" s="41">
        <v>0</v>
      </c>
      <c r="O28" s="40">
        <v>1</v>
      </c>
      <c r="P28" s="82">
        <f t="shared" si="2"/>
        <v>300</v>
      </c>
      <c r="Q28" s="82">
        <f t="shared" si="3"/>
        <v>0</v>
      </c>
      <c r="R28" s="102"/>
    </row>
    <row r="29" spans="2:18" customFormat="1" x14ac:dyDescent="0.35">
      <c r="B29" s="47"/>
      <c r="C29" s="82">
        <v>21</v>
      </c>
      <c r="D29" s="82"/>
      <c r="E29" s="41"/>
      <c r="F29" s="41" t="s">
        <v>261</v>
      </c>
      <c r="G29" s="41" t="s">
        <v>331</v>
      </c>
      <c r="H29" s="136" t="s">
        <v>289</v>
      </c>
      <c r="I29" s="82" t="s">
        <v>43</v>
      </c>
      <c r="J29" s="41" t="s">
        <v>137</v>
      </c>
      <c r="K29" s="82" t="s">
        <v>267</v>
      </c>
      <c r="L29" s="41" t="s">
        <v>308</v>
      </c>
      <c r="M29" s="41">
        <v>300</v>
      </c>
      <c r="N29" s="82">
        <v>0</v>
      </c>
      <c r="O29" s="7">
        <v>1</v>
      </c>
      <c r="P29" s="82">
        <f t="shared" si="2"/>
        <v>300</v>
      </c>
      <c r="Q29" s="82">
        <f t="shared" si="3"/>
        <v>0</v>
      </c>
      <c r="R29" s="102"/>
    </row>
    <row r="30" spans="2:18" customFormat="1" x14ac:dyDescent="0.35">
      <c r="B30" s="47"/>
      <c r="C30" s="82">
        <v>22</v>
      </c>
      <c r="D30" s="82" t="s">
        <v>258</v>
      </c>
      <c r="E30" s="41" t="s">
        <v>263</v>
      </c>
      <c r="F30" s="41" t="s">
        <v>314</v>
      </c>
      <c r="G30" s="41" t="s">
        <v>330</v>
      </c>
      <c r="H30" s="136" t="s">
        <v>291</v>
      </c>
      <c r="I30" s="121" t="s">
        <v>302</v>
      </c>
      <c r="J30" s="41" t="s">
        <v>137</v>
      </c>
      <c r="K30" s="82" t="s">
        <v>146</v>
      </c>
      <c r="L30" s="41" t="s">
        <v>309</v>
      </c>
      <c r="M30" s="41">
        <v>900</v>
      </c>
      <c r="N30" s="41">
        <v>900</v>
      </c>
      <c r="O30" s="7">
        <v>0.3</v>
      </c>
      <c r="P30" s="82">
        <f t="shared" si="2"/>
        <v>270</v>
      </c>
      <c r="Q30" s="82">
        <f t="shared" si="3"/>
        <v>270</v>
      </c>
      <c r="R30" s="102"/>
    </row>
    <row r="31" spans="2:18" customFormat="1" x14ac:dyDescent="0.35">
      <c r="B31" s="47"/>
      <c r="C31" s="82">
        <v>23</v>
      </c>
      <c r="D31" s="82" t="s">
        <v>259</v>
      </c>
      <c r="E31" s="41" t="s">
        <v>261</v>
      </c>
      <c r="F31" s="41" t="s">
        <v>261</v>
      </c>
      <c r="G31" s="41" t="s">
        <v>333</v>
      </c>
      <c r="H31" s="136" t="s">
        <v>290</v>
      </c>
      <c r="I31" s="82" t="s">
        <v>43</v>
      </c>
      <c r="J31" s="41" t="s">
        <v>137</v>
      </c>
      <c r="K31" s="82" t="s">
        <v>267</v>
      </c>
      <c r="L31" s="41" t="s">
        <v>307</v>
      </c>
      <c r="M31" s="41">
        <v>300</v>
      </c>
      <c r="N31" s="82">
        <v>0</v>
      </c>
      <c r="O31" s="7">
        <v>1</v>
      </c>
      <c r="P31" s="82">
        <f t="shared" si="2"/>
        <v>300</v>
      </c>
      <c r="Q31" s="82">
        <f t="shared" si="3"/>
        <v>0</v>
      </c>
      <c r="R31" s="102"/>
    </row>
    <row r="32" spans="2:18" customFormat="1" x14ac:dyDescent="0.35">
      <c r="B32" s="47"/>
      <c r="C32" s="82">
        <v>24</v>
      </c>
      <c r="D32" s="82" t="s">
        <v>266</v>
      </c>
      <c r="E32" s="41" t="s">
        <v>261</v>
      </c>
      <c r="F32" s="41" t="s">
        <v>261</v>
      </c>
      <c r="G32" s="41" t="s">
        <v>332</v>
      </c>
      <c r="H32" s="136" t="s">
        <v>292</v>
      </c>
      <c r="I32" s="82" t="s">
        <v>43</v>
      </c>
      <c r="J32" s="41" t="s">
        <v>137</v>
      </c>
      <c r="K32" s="82" t="s">
        <v>267</v>
      </c>
      <c r="L32" s="41" t="s">
        <v>307</v>
      </c>
      <c r="M32" s="41">
        <v>300</v>
      </c>
      <c r="N32" s="82">
        <v>0</v>
      </c>
      <c r="O32" s="7">
        <v>1</v>
      </c>
      <c r="P32" s="82">
        <f t="shared" si="2"/>
        <v>300</v>
      </c>
      <c r="Q32" s="82">
        <f t="shared" si="3"/>
        <v>0</v>
      </c>
      <c r="R32" s="102"/>
    </row>
    <row r="33" spans="2:18" s="3" customFormat="1" x14ac:dyDescent="0.35">
      <c r="B33" s="47"/>
      <c r="E33" s="6"/>
      <c r="F33" s="6"/>
      <c r="G33" s="6"/>
      <c r="H33" s="2"/>
      <c r="I33" s="6"/>
      <c r="J33" s="6"/>
      <c r="K33" s="6"/>
      <c r="L33" s="6"/>
      <c r="M33" s="6"/>
      <c r="N33" s="6"/>
      <c r="O33" s="41" t="s">
        <v>315</v>
      </c>
      <c r="P33" s="41">
        <f>SUM(P9:P32)</f>
        <v>11780</v>
      </c>
      <c r="Q33" s="41">
        <f>SUM(Q9:Q32)</f>
        <v>1080</v>
      </c>
      <c r="R33" s="104"/>
    </row>
    <row r="34" spans="2:18" s="3" customFormat="1" x14ac:dyDescent="0.35">
      <c r="B34" s="47"/>
      <c r="E34" s="6"/>
      <c r="F34" s="6"/>
      <c r="G34" s="6"/>
      <c r="H34" s="2"/>
      <c r="I34" s="6"/>
      <c r="J34" s="6"/>
      <c r="K34" s="6"/>
      <c r="L34" s="6"/>
      <c r="M34" s="6"/>
      <c r="N34" s="6"/>
      <c r="O34" s="41" t="s">
        <v>316</v>
      </c>
      <c r="P34" s="66">
        <f>P33/60</f>
        <v>196.33333333333334</v>
      </c>
      <c r="Q34" s="66">
        <f>Q33/60</f>
        <v>18</v>
      </c>
      <c r="R34" s="104"/>
    </row>
    <row r="35" spans="2:18" s="3" customFormat="1" ht="15" thickBot="1" x14ac:dyDescent="0.4">
      <c r="B35" s="53"/>
      <c r="C35" s="54"/>
      <c r="D35" s="54"/>
      <c r="E35" s="55"/>
      <c r="F35" s="55"/>
      <c r="G35" s="55"/>
      <c r="H35" s="56"/>
      <c r="I35" s="56"/>
      <c r="J35" s="56"/>
      <c r="K35" s="56"/>
      <c r="L35" s="56"/>
      <c r="M35" s="56"/>
      <c r="N35" s="56"/>
      <c r="O35" s="98" t="s">
        <v>277</v>
      </c>
      <c r="P35" s="99">
        <f>1-Q34/P34</f>
        <v>0.90831918505942277</v>
      </c>
      <c r="Q35" s="119"/>
      <c r="R35" s="10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DC6D-73A1-4A7D-A7E7-DA5547B4B63A}">
  <dimension ref="B1:AF50"/>
  <sheetViews>
    <sheetView showGridLines="0" topLeftCell="A15" zoomScaleNormal="100" workbookViewId="0">
      <selection activeCell="F29" sqref="F29"/>
    </sheetView>
  </sheetViews>
  <sheetFormatPr defaultColWidth="8.81640625" defaultRowHeight="14.5" x14ac:dyDescent="0.35"/>
  <cols>
    <col min="1" max="1" width="2.81640625" customWidth="1"/>
    <col min="2" max="2" width="7.7265625" customWidth="1"/>
    <col min="3" max="3" width="4.1796875" style="3" customWidth="1"/>
    <col min="4" max="4" width="10.26953125" style="3" customWidth="1"/>
    <col min="5" max="5" width="11.81640625" style="6" customWidth="1"/>
    <col min="6" max="6" width="70.1796875" style="2" bestFit="1" customWidth="1"/>
    <col min="7" max="8" width="15.7265625" style="6" customWidth="1"/>
    <col min="9" max="9" width="23.26953125" style="6" customWidth="1"/>
    <col min="10" max="10" width="18.26953125" style="6" customWidth="1"/>
    <col min="11" max="29" width="14.453125" style="6" customWidth="1"/>
    <col min="31" max="31" width="22.453125" style="3" customWidth="1"/>
    <col min="32" max="32" width="17.7265625" style="3" customWidth="1"/>
  </cols>
  <sheetData>
    <row r="1" spans="2:31" ht="15" thickBot="1" x14ac:dyDescent="0.4"/>
    <row r="2" spans="2:31" ht="15" thickBot="1" x14ac:dyDescent="0.4">
      <c r="B2" s="42"/>
      <c r="C2" s="43"/>
      <c r="D2" s="43"/>
      <c r="E2" s="44"/>
      <c r="F2" s="45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6"/>
    </row>
    <row r="3" spans="2:31" x14ac:dyDescent="0.35">
      <c r="B3" s="47"/>
      <c r="F3" s="72"/>
      <c r="G3" s="73" t="s">
        <v>89</v>
      </c>
      <c r="H3" s="74" t="s">
        <v>88</v>
      </c>
      <c r="I3" s="71"/>
      <c r="J3" s="71"/>
      <c r="M3" s="5"/>
      <c r="N3" s="48">
        <v>45992</v>
      </c>
      <c r="O3" s="5"/>
      <c r="AD3" s="49"/>
    </row>
    <row r="4" spans="2:31" ht="29" x14ac:dyDescent="0.35">
      <c r="B4" s="47"/>
      <c r="F4" s="75" t="s">
        <v>248</v>
      </c>
      <c r="G4" s="16">
        <f>M6</f>
        <v>26723</v>
      </c>
      <c r="H4" s="76">
        <f>M6</f>
        <v>26723</v>
      </c>
      <c r="I4" s="69"/>
      <c r="J4" s="69"/>
      <c r="M4" s="5" t="s">
        <v>106</v>
      </c>
      <c r="N4" s="5" t="s">
        <v>107</v>
      </c>
      <c r="O4" s="5" t="s">
        <v>108</v>
      </c>
      <c r="AD4" s="49"/>
    </row>
    <row r="5" spans="2:31" x14ac:dyDescent="0.35">
      <c r="B5" s="47"/>
      <c r="F5" s="75" t="s">
        <v>94</v>
      </c>
      <c r="G5" s="39">
        <f>V41</f>
        <v>35.107616177983537</v>
      </c>
      <c r="H5" s="77">
        <f>AC41</f>
        <v>17.088148816872426</v>
      </c>
      <c r="I5" s="60">
        <f>(G5-H5)/G5</f>
        <v>0.51326376788895633</v>
      </c>
      <c r="J5" s="70"/>
      <c r="K5" s="60"/>
      <c r="M5" s="40">
        <v>1</v>
      </c>
      <c r="N5" s="40">
        <v>0.75</v>
      </c>
      <c r="O5" s="40">
        <v>0.25</v>
      </c>
      <c r="AD5" s="49"/>
    </row>
    <row r="6" spans="2:31" x14ac:dyDescent="0.35">
      <c r="B6" s="47"/>
      <c r="F6" s="75" t="s">
        <v>95</v>
      </c>
      <c r="G6" s="16">
        <v>18</v>
      </c>
      <c r="H6" s="76">
        <v>18</v>
      </c>
      <c r="I6" s="69"/>
      <c r="J6" s="69"/>
      <c r="M6" s="41">
        <v>26723</v>
      </c>
      <c r="N6" s="66">
        <f>M6*N5</f>
        <v>20042.25</v>
      </c>
      <c r="O6" s="66">
        <f>M6*O5</f>
        <v>6680.75</v>
      </c>
      <c r="AD6" s="49"/>
    </row>
    <row r="7" spans="2:31" ht="29.5" thickBot="1" x14ac:dyDescent="0.4">
      <c r="B7" s="47"/>
      <c r="F7" s="78" t="s">
        <v>130</v>
      </c>
      <c r="G7" s="79">
        <f>((G4/G5)/G6)</f>
        <v>42.287437107226062</v>
      </c>
      <c r="H7" s="80">
        <f>((H4/H5)/H6)</f>
        <v>86.879575255409861</v>
      </c>
      <c r="I7" s="70">
        <f>G5-H5</f>
        <v>18.019467361111111</v>
      </c>
      <c r="J7" s="69"/>
      <c r="AD7" s="49"/>
    </row>
    <row r="8" spans="2:31" x14ac:dyDescent="0.35">
      <c r="B8" s="47"/>
      <c r="AD8" s="49"/>
    </row>
    <row r="9" spans="2:31" x14ac:dyDescent="0.35">
      <c r="B9" s="47"/>
      <c r="AD9" s="49"/>
    </row>
    <row r="10" spans="2:31" ht="58" x14ac:dyDescent="0.35">
      <c r="B10" s="47"/>
      <c r="C10" s="5" t="s">
        <v>127</v>
      </c>
      <c r="D10" s="50" t="s">
        <v>25</v>
      </c>
      <c r="E10" s="50" t="s">
        <v>3</v>
      </c>
      <c r="F10" s="5" t="s">
        <v>0</v>
      </c>
      <c r="G10" s="5" t="s">
        <v>1</v>
      </c>
      <c r="H10" s="5" t="s">
        <v>136</v>
      </c>
      <c r="I10" s="5" t="s">
        <v>140</v>
      </c>
      <c r="J10" s="5" t="s">
        <v>70</v>
      </c>
      <c r="K10" s="5" t="s">
        <v>109</v>
      </c>
      <c r="L10" s="5" t="s">
        <v>110</v>
      </c>
      <c r="M10" s="5" t="s">
        <v>105</v>
      </c>
      <c r="N10" s="48" t="s">
        <v>111</v>
      </c>
      <c r="O10" s="48" t="s">
        <v>112</v>
      </c>
      <c r="P10" s="48" t="s">
        <v>113</v>
      </c>
      <c r="Q10" s="48" t="s">
        <v>114</v>
      </c>
      <c r="R10" s="48" t="s">
        <v>115</v>
      </c>
      <c r="S10" s="48" t="s">
        <v>116</v>
      </c>
      <c r="T10" s="48" t="s">
        <v>117</v>
      </c>
      <c r="U10" s="48" t="s">
        <v>118</v>
      </c>
      <c r="V10" s="48" t="s">
        <v>119</v>
      </c>
      <c r="W10" s="48" t="s">
        <v>120</v>
      </c>
      <c r="X10" s="48" t="s">
        <v>121</v>
      </c>
      <c r="Y10" s="48" t="s">
        <v>122</v>
      </c>
      <c r="Z10" s="48" t="s">
        <v>123</v>
      </c>
      <c r="AA10" s="48" t="s">
        <v>124</v>
      </c>
      <c r="AB10" s="48" t="s">
        <v>125</v>
      </c>
      <c r="AC10" s="48" t="s">
        <v>126</v>
      </c>
      <c r="AD10" s="49"/>
    </row>
    <row r="11" spans="2:31" ht="31.5" customHeight="1" x14ac:dyDescent="0.35">
      <c r="B11" s="47"/>
      <c r="C11" s="20">
        <v>1</v>
      </c>
      <c r="D11" s="20" t="s">
        <v>26</v>
      </c>
      <c r="E11" s="21" t="s">
        <v>21</v>
      </c>
      <c r="F11" s="22" t="s">
        <v>4</v>
      </c>
      <c r="G11" s="21" t="s">
        <v>43</v>
      </c>
      <c r="H11" s="21" t="s">
        <v>137</v>
      </c>
      <c r="I11" s="21" t="s">
        <v>146</v>
      </c>
      <c r="J11" s="21" t="s">
        <v>71</v>
      </c>
      <c r="K11" s="21" t="s">
        <v>22</v>
      </c>
      <c r="L11" s="21" t="s">
        <v>22</v>
      </c>
      <c r="M11" s="21" t="s">
        <v>22</v>
      </c>
      <c r="N11" s="21" t="s">
        <v>22</v>
      </c>
      <c r="O11" s="21" t="s">
        <v>22</v>
      </c>
      <c r="P11" s="21" t="s">
        <v>22</v>
      </c>
      <c r="Q11" s="21" t="s">
        <v>22</v>
      </c>
      <c r="R11" s="21" t="s">
        <v>22</v>
      </c>
      <c r="S11" s="21" t="s">
        <v>22</v>
      </c>
      <c r="T11" s="21" t="s">
        <v>22</v>
      </c>
      <c r="U11" s="21" t="s">
        <v>22</v>
      </c>
      <c r="V11" s="21" t="s">
        <v>22</v>
      </c>
      <c r="W11" s="21" t="s">
        <v>22</v>
      </c>
      <c r="X11" s="21" t="s">
        <v>22</v>
      </c>
      <c r="Y11" s="21" t="s">
        <v>22</v>
      </c>
      <c r="Z11" s="21" t="s">
        <v>22</v>
      </c>
      <c r="AA11" s="21" t="s">
        <v>22</v>
      </c>
      <c r="AB11" s="21" t="s">
        <v>22</v>
      </c>
      <c r="AC11" s="21" t="s">
        <v>22</v>
      </c>
      <c r="AD11" s="49"/>
      <c r="AE11" s="6"/>
    </row>
    <row r="12" spans="2:31" ht="29" x14ac:dyDescent="0.35">
      <c r="B12" s="47"/>
      <c r="C12" s="20">
        <v>2</v>
      </c>
      <c r="D12" s="20" t="s">
        <v>27</v>
      </c>
      <c r="E12" s="21" t="s">
        <v>24</v>
      </c>
      <c r="F12" s="22" t="s">
        <v>5</v>
      </c>
      <c r="G12" s="21" t="s">
        <v>43</v>
      </c>
      <c r="H12" s="21" t="s">
        <v>137</v>
      </c>
      <c r="I12" s="21" t="s">
        <v>146</v>
      </c>
      <c r="J12" s="21" t="s">
        <v>71</v>
      </c>
      <c r="K12" s="21">
        <v>25</v>
      </c>
      <c r="L12" s="21">
        <v>25</v>
      </c>
      <c r="M12" s="23">
        <v>1</v>
      </c>
      <c r="N12" s="24">
        <f t="shared" ref="N12:N18" si="0">$N$6*M12</f>
        <v>20042.25</v>
      </c>
      <c r="O12" s="24">
        <f t="shared" ref="O12:O18" si="1">$O$6*M12</f>
        <v>6680.75</v>
      </c>
      <c r="P12" s="24">
        <f>N12*K12</f>
        <v>501056.25</v>
      </c>
      <c r="Q12" s="24">
        <f>O12*K12</f>
        <v>167018.75</v>
      </c>
      <c r="R12" s="24">
        <f>P12+Q12</f>
        <v>668075</v>
      </c>
      <c r="S12" s="24">
        <f>R12/60</f>
        <v>11134.583333333334</v>
      </c>
      <c r="T12" s="24">
        <f>S12/60</f>
        <v>185.57638888888889</v>
      </c>
      <c r="U12" s="24">
        <f>T12/7.5</f>
        <v>24.743518518518517</v>
      </c>
      <c r="V12" s="24">
        <f>U12/18</f>
        <v>1.3746399176954731</v>
      </c>
      <c r="W12" s="24">
        <f>N12*L12</f>
        <v>501056.25</v>
      </c>
      <c r="X12" s="24">
        <f>O12*L12</f>
        <v>167018.75</v>
      </c>
      <c r="Y12" s="24">
        <f>W12+X12</f>
        <v>668075</v>
      </c>
      <c r="Z12" s="24">
        <f>Y12/60</f>
        <v>11134.583333333334</v>
      </c>
      <c r="AA12" s="24">
        <f>Z12/60</f>
        <v>185.57638888888889</v>
      </c>
      <c r="AB12" s="24">
        <f>AA12/7.5</f>
        <v>24.743518518518517</v>
      </c>
      <c r="AC12" s="25">
        <f>AB12/18</f>
        <v>1.3746399176954731</v>
      </c>
      <c r="AD12" s="49"/>
    </row>
    <row r="13" spans="2:31" ht="32.25" customHeight="1" x14ac:dyDescent="0.35">
      <c r="B13" s="47"/>
      <c r="C13" s="26">
        <v>3</v>
      </c>
      <c r="D13" s="26" t="s">
        <v>28</v>
      </c>
      <c r="E13" s="27" t="s">
        <v>24</v>
      </c>
      <c r="F13" s="28" t="s">
        <v>6</v>
      </c>
      <c r="G13" s="26" t="s">
        <v>75</v>
      </c>
      <c r="H13" s="26" t="s">
        <v>138</v>
      </c>
      <c r="I13" s="26" t="s">
        <v>145</v>
      </c>
      <c r="J13" s="27" t="s">
        <v>73</v>
      </c>
      <c r="K13" s="27">
        <v>25</v>
      </c>
      <c r="L13" s="27">
        <v>10</v>
      </c>
      <c r="M13" s="29">
        <v>0.08</v>
      </c>
      <c r="N13" s="30">
        <f t="shared" si="0"/>
        <v>1603.38</v>
      </c>
      <c r="O13" s="30">
        <f t="shared" si="1"/>
        <v>534.46</v>
      </c>
      <c r="P13" s="30">
        <f t="shared" ref="P13:P18" si="2">N13*K13</f>
        <v>40084.5</v>
      </c>
      <c r="Q13" s="30">
        <f t="shared" ref="Q13:Q18" si="3">O13*K13</f>
        <v>13361.5</v>
      </c>
      <c r="R13" s="30">
        <f t="shared" ref="R13:R18" si="4">P13+Q13</f>
        <v>53446</v>
      </c>
      <c r="S13" s="30">
        <f t="shared" ref="S13:T18" si="5">R13/60</f>
        <v>890.76666666666665</v>
      </c>
      <c r="T13" s="30">
        <f t="shared" si="5"/>
        <v>14.84611111111111</v>
      </c>
      <c r="U13" s="30">
        <f t="shared" ref="U13:U18" si="6">T13/7.5</f>
        <v>1.9794814814814814</v>
      </c>
      <c r="V13" s="30">
        <f t="shared" ref="V13:V18" si="7">U13/18</f>
        <v>0.10997119341563785</v>
      </c>
      <c r="W13" s="30">
        <f t="shared" ref="W13:W18" si="8">N13*L13</f>
        <v>16033.800000000001</v>
      </c>
      <c r="X13" s="30">
        <f t="shared" ref="X13:X18" si="9">O13*L13</f>
        <v>5344.6</v>
      </c>
      <c r="Y13" s="30">
        <f t="shared" ref="Y13:Y18" si="10">W13+X13</f>
        <v>21378.400000000001</v>
      </c>
      <c r="Z13" s="30">
        <f t="shared" ref="Z13:AA18" si="11">Y13/60</f>
        <v>356.30666666666667</v>
      </c>
      <c r="AA13" s="30">
        <f t="shared" si="11"/>
        <v>5.9384444444444444</v>
      </c>
      <c r="AB13" s="30">
        <f t="shared" ref="AB13:AB18" si="12">AA13/7.5</f>
        <v>0.7917925925925926</v>
      </c>
      <c r="AC13" s="30">
        <f t="shared" ref="AC13:AC18" si="13">AB13/18</f>
        <v>4.3988477366255142E-2</v>
      </c>
      <c r="AD13" s="49"/>
    </row>
    <row r="14" spans="2:31" ht="30" customHeight="1" x14ac:dyDescent="0.35">
      <c r="B14" s="47"/>
      <c r="C14" s="32">
        <v>4</v>
      </c>
      <c r="D14" s="32" t="s">
        <v>42</v>
      </c>
      <c r="E14" s="33" t="s">
        <v>24</v>
      </c>
      <c r="F14" s="34" t="s">
        <v>76</v>
      </c>
      <c r="G14" s="32" t="s">
        <v>44</v>
      </c>
      <c r="H14" s="32" t="s">
        <v>139</v>
      </c>
      <c r="I14" s="32" t="s">
        <v>145</v>
      </c>
      <c r="J14" s="33" t="s">
        <v>73</v>
      </c>
      <c r="K14" s="32">
        <v>120</v>
      </c>
      <c r="L14" s="32">
        <v>0</v>
      </c>
      <c r="M14" s="35">
        <v>0.08</v>
      </c>
      <c r="N14" s="36">
        <f t="shared" si="0"/>
        <v>1603.38</v>
      </c>
      <c r="O14" s="36">
        <f t="shared" si="1"/>
        <v>534.46</v>
      </c>
      <c r="P14" s="36">
        <f t="shared" si="2"/>
        <v>192405.6</v>
      </c>
      <c r="Q14" s="36">
        <f t="shared" si="3"/>
        <v>64135.200000000004</v>
      </c>
      <c r="R14" s="36">
        <f t="shared" si="4"/>
        <v>256540.80000000002</v>
      </c>
      <c r="S14" s="36">
        <f t="shared" si="5"/>
        <v>4275.68</v>
      </c>
      <c r="T14" s="36">
        <f t="shared" si="5"/>
        <v>71.26133333333334</v>
      </c>
      <c r="U14" s="36">
        <f t="shared" si="6"/>
        <v>9.5015111111111121</v>
      </c>
      <c r="V14" s="36">
        <f t="shared" si="7"/>
        <v>0.52786172839506174</v>
      </c>
      <c r="W14" s="36">
        <f t="shared" si="8"/>
        <v>0</v>
      </c>
      <c r="X14" s="36">
        <f t="shared" si="9"/>
        <v>0</v>
      </c>
      <c r="Y14" s="36">
        <f t="shared" si="10"/>
        <v>0</v>
      </c>
      <c r="Z14" s="36">
        <f t="shared" si="11"/>
        <v>0</v>
      </c>
      <c r="AA14" s="36">
        <f t="shared" si="11"/>
        <v>0</v>
      </c>
      <c r="AB14" s="36">
        <f t="shared" si="12"/>
        <v>0</v>
      </c>
      <c r="AC14" s="36">
        <f t="shared" si="13"/>
        <v>0</v>
      </c>
      <c r="AD14" s="49"/>
    </row>
    <row r="15" spans="2:31" x14ac:dyDescent="0.35">
      <c r="B15" s="47"/>
      <c r="C15" s="32">
        <v>5</v>
      </c>
      <c r="D15" s="32" t="s">
        <v>29</v>
      </c>
      <c r="E15" s="33" t="s">
        <v>24</v>
      </c>
      <c r="F15" s="34" t="s">
        <v>7</v>
      </c>
      <c r="G15" s="33" t="s">
        <v>77</v>
      </c>
      <c r="H15" s="32" t="s">
        <v>139</v>
      </c>
      <c r="I15" s="32" t="s">
        <v>145</v>
      </c>
      <c r="J15" s="33" t="s">
        <v>73</v>
      </c>
      <c r="K15" s="33">
        <v>15</v>
      </c>
      <c r="L15" s="33">
        <v>0</v>
      </c>
      <c r="M15" s="81">
        <v>1</v>
      </c>
      <c r="N15" s="36">
        <f t="shared" si="0"/>
        <v>20042.25</v>
      </c>
      <c r="O15" s="36">
        <f t="shared" si="1"/>
        <v>6680.75</v>
      </c>
      <c r="P15" s="36">
        <f t="shared" si="2"/>
        <v>300633.75</v>
      </c>
      <c r="Q15" s="36">
        <f t="shared" si="3"/>
        <v>100211.25</v>
      </c>
      <c r="R15" s="36">
        <f t="shared" si="4"/>
        <v>400845</v>
      </c>
      <c r="S15" s="36">
        <f t="shared" si="5"/>
        <v>6680.75</v>
      </c>
      <c r="T15" s="36">
        <f t="shared" si="5"/>
        <v>111.34583333333333</v>
      </c>
      <c r="U15" s="36">
        <f t="shared" si="6"/>
        <v>14.84611111111111</v>
      </c>
      <c r="V15" s="36">
        <f t="shared" si="7"/>
        <v>0.82478395061728393</v>
      </c>
      <c r="W15" s="36">
        <f t="shared" si="8"/>
        <v>0</v>
      </c>
      <c r="X15" s="36">
        <f t="shared" si="9"/>
        <v>0</v>
      </c>
      <c r="Y15" s="36">
        <f t="shared" si="10"/>
        <v>0</v>
      </c>
      <c r="Z15" s="36">
        <f t="shared" si="11"/>
        <v>0</v>
      </c>
      <c r="AA15" s="36">
        <f t="shared" si="11"/>
        <v>0</v>
      </c>
      <c r="AB15" s="36">
        <f t="shared" si="12"/>
        <v>0</v>
      </c>
      <c r="AC15" s="36">
        <f t="shared" si="13"/>
        <v>0</v>
      </c>
      <c r="AD15" s="49"/>
    </row>
    <row r="16" spans="2:31" ht="29" x14ac:dyDescent="0.35">
      <c r="B16" s="47"/>
      <c r="C16" s="26">
        <v>6</v>
      </c>
      <c r="D16" s="26" t="s">
        <v>30</v>
      </c>
      <c r="E16" s="27" t="s">
        <v>24</v>
      </c>
      <c r="F16" s="28" t="s">
        <v>78</v>
      </c>
      <c r="G16" s="27" t="s">
        <v>77</v>
      </c>
      <c r="H16" s="26" t="s">
        <v>138</v>
      </c>
      <c r="I16" s="26" t="s">
        <v>145</v>
      </c>
      <c r="J16" s="27" t="s">
        <v>73</v>
      </c>
      <c r="K16" s="27">
        <v>20</v>
      </c>
      <c r="L16" s="27">
        <v>10</v>
      </c>
      <c r="M16" s="29">
        <v>1</v>
      </c>
      <c r="N16" s="30">
        <f t="shared" si="0"/>
        <v>20042.25</v>
      </c>
      <c r="O16" s="30">
        <f t="shared" si="1"/>
        <v>6680.75</v>
      </c>
      <c r="P16" s="30">
        <f t="shared" si="2"/>
        <v>400845</v>
      </c>
      <c r="Q16" s="30">
        <f t="shared" si="3"/>
        <v>133615</v>
      </c>
      <c r="R16" s="30">
        <f t="shared" si="4"/>
        <v>534460</v>
      </c>
      <c r="S16" s="30">
        <f t="shared" si="5"/>
        <v>8907.6666666666661</v>
      </c>
      <c r="T16" s="30">
        <f t="shared" si="5"/>
        <v>148.46111111111111</v>
      </c>
      <c r="U16" s="30">
        <f t="shared" si="6"/>
        <v>19.794814814814814</v>
      </c>
      <c r="V16" s="30">
        <f t="shared" si="7"/>
        <v>1.0997119341563786</v>
      </c>
      <c r="W16" s="30">
        <f t="shared" si="8"/>
        <v>200422.5</v>
      </c>
      <c r="X16" s="30">
        <f t="shared" si="9"/>
        <v>66807.5</v>
      </c>
      <c r="Y16" s="30">
        <f t="shared" si="10"/>
        <v>267230</v>
      </c>
      <c r="Z16" s="30">
        <f t="shared" si="11"/>
        <v>4453.833333333333</v>
      </c>
      <c r="AA16" s="30">
        <f t="shared" si="11"/>
        <v>74.230555555555554</v>
      </c>
      <c r="AB16" s="30">
        <f t="shared" si="12"/>
        <v>9.8974074074074068</v>
      </c>
      <c r="AC16" s="30">
        <f t="shared" si="13"/>
        <v>0.54985596707818929</v>
      </c>
      <c r="AD16" s="49"/>
    </row>
    <row r="17" spans="2:30" x14ac:dyDescent="0.35">
      <c r="B17" s="47"/>
      <c r="C17" s="26">
        <v>7</v>
      </c>
      <c r="D17" s="26" t="s">
        <v>34</v>
      </c>
      <c r="E17" s="27" t="s">
        <v>24</v>
      </c>
      <c r="F17" s="28" t="s">
        <v>80</v>
      </c>
      <c r="G17" s="27" t="s">
        <v>77</v>
      </c>
      <c r="H17" s="26" t="s">
        <v>138</v>
      </c>
      <c r="I17" s="26" t="s">
        <v>145</v>
      </c>
      <c r="J17" s="27" t="s">
        <v>73</v>
      </c>
      <c r="K17" s="26">
        <v>50</v>
      </c>
      <c r="L17" s="26">
        <v>10</v>
      </c>
      <c r="M17" s="31">
        <v>1</v>
      </c>
      <c r="N17" s="30">
        <f t="shared" si="0"/>
        <v>20042.25</v>
      </c>
      <c r="O17" s="30">
        <f t="shared" si="1"/>
        <v>6680.75</v>
      </c>
      <c r="P17" s="30">
        <f t="shared" si="2"/>
        <v>1002112.5</v>
      </c>
      <c r="Q17" s="30">
        <f t="shared" si="3"/>
        <v>334037.5</v>
      </c>
      <c r="R17" s="30">
        <f t="shared" si="4"/>
        <v>1336150</v>
      </c>
      <c r="S17" s="30">
        <f t="shared" si="5"/>
        <v>22269.166666666668</v>
      </c>
      <c r="T17" s="30">
        <f t="shared" si="5"/>
        <v>371.15277777777777</v>
      </c>
      <c r="U17" s="30">
        <f t="shared" si="6"/>
        <v>49.487037037037034</v>
      </c>
      <c r="V17" s="30">
        <f t="shared" si="7"/>
        <v>2.7492798353909462</v>
      </c>
      <c r="W17" s="30">
        <f t="shared" si="8"/>
        <v>200422.5</v>
      </c>
      <c r="X17" s="30">
        <f t="shared" si="9"/>
        <v>66807.5</v>
      </c>
      <c r="Y17" s="30">
        <f t="shared" si="10"/>
        <v>267230</v>
      </c>
      <c r="Z17" s="30">
        <f t="shared" si="11"/>
        <v>4453.833333333333</v>
      </c>
      <c r="AA17" s="30">
        <f t="shared" si="11"/>
        <v>74.230555555555554</v>
      </c>
      <c r="AB17" s="30">
        <f t="shared" si="12"/>
        <v>9.8974074074074068</v>
      </c>
      <c r="AC17" s="30">
        <f t="shared" si="13"/>
        <v>0.54985596707818929</v>
      </c>
      <c r="AD17" s="49"/>
    </row>
    <row r="18" spans="2:30" ht="15.75" customHeight="1" x14ac:dyDescent="0.35">
      <c r="B18" s="47"/>
      <c r="C18" s="32">
        <v>8</v>
      </c>
      <c r="D18" s="32" t="s">
        <v>31</v>
      </c>
      <c r="E18" s="33" t="s">
        <v>24</v>
      </c>
      <c r="F18" s="34" t="s">
        <v>79</v>
      </c>
      <c r="G18" s="33" t="s">
        <v>77</v>
      </c>
      <c r="H18" s="32" t="s">
        <v>139</v>
      </c>
      <c r="I18" s="33" t="s">
        <v>141</v>
      </c>
      <c r="J18" s="32" t="s">
        <v>73</v>
      </c>
      <c r="K18" s="32">
        <v>120</v>
      </c>
      <c r="L18" s="32">
        <v>0</v>
      </c>
      <c r="M18" s="35">
        <v>1</v>
      </c>
      <c r="N18" s="36">
        <f t="shared" si="0"/>
        <v>20042.25</v>
      </c>
      <c r="O18" s="36">
        <f t="shared" si="1"/>
        <v>6680.75</v>
      </c>
      <c r="P18" s="36">
        <f t="shared" si="2"/>
        <v>2405070</v>
      </c>
      <c r="Q18" s="36">
        <f t="shared" si="3"/>
        <v>801690</v>
      </c>
      <c r="R18" s="36">
        <f t="shared" si="4"/>
        <v>3206760</v>
      </c>
      <c r="S18" s="36">
        <f t="shared" si="5"/>
        <v>53446</v>
      </c>
      <c r="T18" s="36">
        <f t="shared" si="5"/>
        <v>890.76666666666665</v>
      </c>
      <c r="U18" s="36">
        <f t="shared" si="6"/>
        <v>118.76888888888888</v>
      </c>
      <c r="V18" s="36">
        <f t="shared" si="7"/>
        <v>6.5982716049382715</v>
      </c>
      <c r="W18" s="36">
        <f t="shared" si="8"/>
        <v>0</v>
      </c>
      <c r="X18" s="36">
        <f t="shared" si="9"/>
        <v>0</v>
      </c>
      <c r="Y18" s="36">
        <f t="shared" si="10"/>
        <v>0</v>
      </c>
      <c r="Z18" s="36">
        <f t="shared" si="11"/>
        <v>0</v>
      </c>
      <c r="AA18" s="36">
        <f t="shared" si="11"/>
        <v>0</v>
      </c>
      <c r="AB18" s="36">
        <f t="shared" si="12"/>
        <v>0</v>
      </c>
      <c r="AC18" s="36">
        <f t="shared" si="13"/>
        <v>0</v>
      </c>
      <c r="AD18" s="49"/>
    </row>
    <row r="19" spans="2:30" x14ac:dyDescent="0.35">
      <c r="B19" s="47"/>
      <c r="C19" s="82">
        <v>9</v>
      </c>
      <c r="D19" s="82" t="s">
        <v>32</v>
      </c>
      <c r="E19" s="41" t="s">
        <v>23</v>
      </c>
      <c r="F19" s="83" t="s">
        <v>8</v>
      </c>
      <c r="G19" s="41" t="s">
        <v>77</v>
      </c>
      <c r="H19" s="41" t="s">
        <v>22</v>
      </c>
      <c r="I19" s="41" t="s">
        <v>22</v>
      </c>
      <c r="J19" s="82" t="s">
        <v>73</v>
      </c>
      <c r="K19" s="82" t="s">
        <v>22</v>
      </c>
      <c r="L19" s="82" t="s">
        <v>22</v>
      </c>
      <c r="M19" s="82" t="s">
        <v>22</v>
      </c>
      <c r="N19" s="82" t="s">
        <v>22</v>
      </c>
      <c r="O19" s="82" t="s">
        <v>22</v>
      </c>
      <c r="P19" s="82" t="s">
        <v>22</v>
      </c>
      <c r="Q19" s="82" t="s">
        <v>22</v>
      </c>
      <c r="R19" s="82" t="s">
        <v>22</v>
      </c>
      <c r="S19" s="82" t="s">
        <v>22</v>
      </c>
      <c r="T19" s="82" t="s">
        <v>22</v>
      </c>
      <c r="U19" s="82" t="s">
        <v>22</v>
      </c>
      <c r="V19" s="82" t="s">
        <v>22</v>
      </c>
      <c r="W19" s="82" t="s">
        <v>22</v>
      </c>
      <c r="X19" s="82" t="s">
        <v>22</v>
      </c>
      <c r="Y19" s="82" t="s">
        <v>22</v>
      </c>
      <c r="Z19" s="82" t="s">
        <v>22</v>
      </c>
      <c r="AA19" s="82" t="s">
        <v>22</v>
      </c>
      <c r="AB19" s="82" t="s">
        <v>22</v>
      </c>
      <c r="AC19" s="82" t="s">
        <v>22</v>
      </c>
      <c r="AD19" s="49"/>
    </row>
    <row r="20" spans="2:30" x14ac:dyDescent="0.35">
      <c r="B20" s="47"/>
      <c r="C20" s="82">
        <v>10</v>
      </c>
      <c r="D20" s="82" t="s">
        <v>33</v>
      </c>
      <c r="E20" s="41" t="s">
        <v>23</v>
      </c>
      <c r="F20" s="83" t="s">
        <v>9</v>
      </c>
      <c r="G20" s="82" t="s">
        <v>68</v>
      </c>
      <c r="H20" s="82" t="s">
        <v>22</v>
      </c>
      <c r="I20" s="82" t="s">
        <v>22</v>
      </c>
      <c r="J20" s="41" t="s">
        <v>73</v>
      </c>
      <c r="K20" s="82" t="s">
        <v>22</v>
      </c>
      <c r="L20" s="82" t="s">
        <v>22</v>
      </c>
      <c r="M20" s="82" t="s">
        <v>22</v>
      </c>
      <c r="N20" s="82" t="s">
        <v>22</v>
      </c>
      <c r="O20" s="82" t="s">
        <v>22</v>
      </c>
      <c r="P20" s="82" t="s">
        <v>22</v>
      </c>
      <c r="Q20" s="82" t="s">
        <v>22</v>
      </c>
      <c r="R20" s="82" t="s">
        <v>22</v>
      </c>
      <c r="S20" s="82" t="s">
        <v>22</v>
      </c>
      <c r="T20" s="82" t="s">
        <v>22</v>
      </c>
      <c r="U20" s="82" t="s">
        <v>22</v>
      </c>
      <c r="V20" s="82" t="s">
        <v>22</v>
      </c>
      <c r="W20" s="82" t="s">
        <v>22</v>
      </c>
      <c r="X20" s="82" t="s">
        <v>22</v>
      </c>
      <c r="Y20" s="82" t="s">
        <v>22</v>
      </c>
      <c r="Z20" s="82" t="s">
        <v>22</v>
      </c>
      <c r="AA20" s="82" t="s">
        <v>22</v>
      </c>
      <c r="AB20" s="82" t="s">
        <v>22</v>
      </c>
      <c r="AC20" s="82" t="s">
        <v>22</v>
      </c>
      <c r="AD20" s="49"/>
    </row>
    <row r="21" spans="2:30" ht="16.5" customHeight="1" x14ac:dyDescent="0.35">
      <c r="B21" s="47"/>
      <c r="C21" s="20">
        <v>11</v>
      </c>
      <c r="D21" s="20" t="s">
        <v>35</v>
      </c>
      <c r="E21" s="21" t="s">
        <v>24</v>
      </c>
      <c r="F21" s="22" t="s">
        <v>74</v>
      </c>
      <c r="G21" s="21" t="s">
        <v>43</v>
      </c>
      <c r="H21" s="21" t="s">
        <v>137</v>
      </c>
      <c r="I21" s="21" t="s">
        <v>146</v>
      </c>
      <c r="J21" s="21" t="s">
        <v>71</v>
      </c>
      <c r="K21" s="21">
        <v>40</v>
      </c>
      <c r="L21" s="21">
        <v>40</v>
      </c>
      <c r="M21" s="23">
        <v>1</v>
      </c>
      <c r="N21" s="24">
        <f>$N$6*M21</f>
        <v>20042.25</v>
      </c>
      <c r="O21" s="24">
        <f>$O$6*M21</f>
        <v>6680.75</v>
      </c>
      <c r="P21" s="24">
        <f>N21*K21</f>
        <v>801690</v>
      </c>
      <c r="Q21" s="24">
        <f>O21*K21</f>
        <v>267230</v>
      </c>
      <c r="R21" s="24">
        <f>P21+Q21</f>
        <v>1068920</v>
      </c>
      <c r="S21" s="24">
        <f t="shared" ref="S21:T23" si="14">R21/60</f>
        <v>17815.333333333332</v>
      </c>
      <c r="T21" s="24">
        <f t="shared" si="14"/>
        <v>296.92222222222222</v>
      </c>
      <c r="U21" s="24">
        <f>T21/7.5</f>
        <v>39.589629629629627</v>
      </c>
      <c r="V21" s="24">
        <f>U21/18</f>
        <v>2.1994238683127572</v>
      </c>
      <c r="W21" s="24">
        <f>N21*L21</f>
        <v>801690</v>
      </c>
      <c r="X21" s="24">
        <f>O21*L21</f>
        <v>267230</v>
      </c>
      <c r="Y21" s="24">
        <f>W21+X21</f>
        <v>1068920</v>
      </c>
      <c r="Z21" s="24">
        <f t="shared" ref="Z21:AA23" si="15">Y21/60</f>
        <v>17815.333333333332</v>
      </c>
      <c r="AA21" s="24">
        <f t="shared" si="15"/>
        <v>296.92222222222222</v>
      </c>
      <c r="AB21" s="24">
        <f>AA21/7.5</f>
        <v>39.589629629629627</v>
      </c>
      <c r="AC21" s="25">
        <f>AB21/18</f>
        <v>2.1994238683127572</v>
      </c>
      <c r="AD21" s="49"/>
    </row>
    <row r="22" spans="2:30" ht="32.25" customHeight="1" x14ac:dyDescent="0.35">
      <c r="B22" s="47"/>
      <c r="C22" s="32">
        <v>12</v>
      </c>
      <c r="D22" s="32" t="s">
        <v>36</v>
      </c>
      <c r="E22" s="33" t="s">
        <v>24</v>
      </c>
      <c r="F22" s="34" t="s">
        <v>47</v>
      </c>
      <c r="G22" s="32" t="s">
        <v>45</v>
      </c>
      <c r="H22" s="32" t="s">
        <v>139</v>
      </c>
      <c r="I22" s="32" t="s">
        <v>145</v>
      </c>
      <c r="J22" s="33" t="s">
        <v>149</v>
      </c>
      <c r="K22" s="32">
        <v>300</v>
      </c>
      <c r="L22" s="32">
        <v>0</v>
      </c>
      <c r="M22" s="35">
        <v>0.05</v>
      </c>
      <c r="N22" s="36">
        <f>$N$6*M22</f>
        <v>1002.1125000000001</v>
      </c>
      <c r="O22" s="36">
        <f>$O$6*M22</f>
        <v>334.03750000000002</v>
      </c>
      <c r="P22" s="36">
        <f>N22*K22</f>
        <v>300633.75</v>
      </c>
      <c r="Q22" s="36">
        <f>O22*K22</f>
        <v>100211.25</v>
      </c>
      <c r="R22" s="36">
        <f>P22+Q22</f>
        <v>400845</v>
      </c>
      <c r="S22" s="36">
        <f t="shared" si="14"/>
        <v>6680.75</v>
      </c>
      <c r="T22" s="36">
        <f t="shared" si="14"/>
        <v>111.34583333333333</v>
      </c>
      <c r="U22" s="36">
        <f>T22/7.5</f>
        <v>14.84611111111111</v>
      </c>
      <c r="V22" s="36">
        <f>U22/18</f>
        <v>0.82478395061728393</v>
      </c>
      <c r="W22" s="36">
        <f>N22*L22</f>
        <v>0</v>
      </c>
      <c r="X22" s="36">
        <f>O22*L22</f>
        <v>0</v>
      </c>
      <c r="Y22" s="36">
        <f>W22+X22</f>
        <v>0</v>
      </c>
      <c r="Z22" s="36">
        <f t="shared" si="15"/>
        <v>0</v>
      </c>
      <c r="AA22" s="36">
        <f t="shared" si="15"/>
        <v>0</v>
      </c>
      <c r="AB22" s="36">
        <f>AA22/7.5</f>
        <v>0</v>
      </c>
      <c r="AC22" s="36">
        <f>AB22/18</f>
        <v>0</v>
      </c>
      <c r="AD22" s="49"/>
    </row>
    <row r="23" spans="2:30" ht="30.75" customHeight="1" x14ac:dyDescent="0.35">
      <c r="B23" s="47"/>
      <c r="C23" s="20">
        <v>13</v>
      </c>
      <c r="D23" s="20" t="s">
        <v>37</v>
      </c>
      <c r="E23" s="21" t="s">
        <v>24</v>
      </c>
      <c r="F23" s="22" t="s">
        <v>69</v>
      </c>
      <c r="G23" s="20" t="s">
        <v>46</v>
      </c>
      <c r="H23" s="21" t="s">
        <v>137</v>
      </c>
      <c r="I23" s="21" t="s">
        <v>146</v>
      </c>
      <c r="J23" s="68" t="s">
        <v>149</v>
      </c>
      <c r="K23" s="20">
        <v>420</v>
      </c>
      <c r="L23" s="20">
        <v>420</v>
      </c>
      <c r="M23" s="67">
        <v>0.08</v>
      </c>
      <c r="N23" s="24">
        <f>$N$6*M23</f>
        <v>1603.38</v>
      </c>
      <c r="O23" s="24">
        <f>$O$6*M23</f>
        <v>534.46</v>
      </c>
      <c r="P23" s="24">
        <f>N23*K23</f>
        <v>673419.60000000009</v>
      </c>
      <c r="Q23" s="24">
        <f>O23*K23</f>
        <v>224473.2</v>
      </c>
      <c r="R23" s="24">
        <f>P23+Q23</f>
        <v>897892.8</v>
      </c>
      <c r="S23" s="24">
        <f t="shared" si="14"/>
        <v>14964.880000000001</v>
      </c>
      <c r="T23" s="24">
        <f t="shared" si="14"/>
        <v>249.41466666666668</v>
      </c>
      <c r="U23" s="24">
        <f>T23/7.5</f>
        <v>33.255288888888892</v>
      </c>
      <c r="V23" s="24">
        <f>U23/18</f>
        <v>1.8475160493827163</v>
      </c>
      <c r="W23" s="24">
        <f>N23*L23</f>
        <v>673419.60000000009</v>
      </c>
      <c r="X23" s="24">
        <f>O23*L23</f>
        <v>224473.2</v>
      </c>
      <c r="Y23" s="24">
        <f>W23+X23</f>
        <v>897892.8</v>
      </c>
      <c r="Z23" s="24">
        <f t="shared" si="15"/>
        <v>14964.880000000001</v>
      </c>
      <c r="AA23" s="24">
        <f t="shared" si="15"/>
        <v>249.41466666666668</v>
      </c>
      <c r="AB23" s="24">
        <f>AA23/7.5</f>
        <v>33.255288888888892</v>
      </c>
      <c r="AC23" s="24">
        <f>AB23/18</f>
        <v>1.8475160493827163</v>
      </c>
      <c r="AD23" s="49"/>
    </row>
    <row r="24" spans="2:30" ht="15" customHeight="1" x14ac:dyDescent="0.35">
      <c r="B24" s="47"/>
      <c r="C24" s="82">
        <v>14</v>
      </c>
      <c r="D24" s="82" t="s">
        <v>38</v>
      </c>
      <c r="E24" s="41" t="s">
        <v>23</v>
      </c>
      <c r="F24" s="83" t="s">
        <v>18</v>
      </c>
      <c r="G24" s="82" t="s">
        <v>48</v>
      </c>
      <c r="H24" s="82" t="s">
        <v>148</v>
      </c>
      <c r="I24" s="82" t="s">
        <v>22</v>
      </c>
      <c r="J24" s="41" t="s">
        <v>72</v>
      </c>
      <c r="K24" s="82" t="s">
        <v>22</v>
      </c>
      <c r="L24" s="82" t="s">
        <v>22</v>
      </c>
      <c r="M24" s="82" t="s">
        <v>22</v>
      </c>
      <c r="N24" s="82" t="s">
        <v>22</v>
      </c>
      <c r="O24" s="82" t="s">
        <v>22</v>
      </c>
      <c r="P24" s="82" t="s">
        <v>22</v>
      </c>
      <c r="Q24" s="82" t="s">
        <v>22</v>
      </c>
      <c r="R24" s="82" t="s">
        <v>22</v>
      </c>
      <c r="S24" s="82" t="s">
        <v>22</v>
      </c>
      <c r="T24" s="82" t="s">
        <v>22</v>
      </c>
      <c r="U24" s="82" t="s">
        <v>22</v>
      </c>
      <c r="V24" s="82" t="s">
        <v>22</v>
      </c>
      <c r="W24" s="82" t="s">
        <v>22</v>
      </c>
      <c r="X24" s="82" t="s">
        <v>22</v>
      </c>
      <c r="Y24" s="82" t="s">
        <v>22</v>
      </c>
      <c r="Z24" s="82" t="s">
        <v>22</v>
      </c>
      <c r="AA24" s="82" t="s">
        <v>22</v>
      </c>
      <c r="AB24" s="82" t="s">
        <v>22</v>
      </c>
      <c r="AC24" s="82" t="s">
        <v>22</v>
      </c>
      <c r="AD24" s="49"/>
    </row>
    <row r="25" spans="2:30" ht="15" customHeight="1" x14ac:dyDescent="0.35">
      <c r="B25" s="47"/>
      <c r="C25" s="82">
        <v>15</v>
      </c>
      <c r="D25" s="82" t="s">
        <v>39</v>
      </c>
      <c r="E25" s="41" t="s">
        <v>23</v>
      </c>
      <c r="F25" s="83" t="s">
        <v>147</v>
      </c>
      <c r="G25" s="82" t="s">
        <v>68</v>
      </c>
      <c r="H25" s="82" t="s">
        <v>22</v>
      </c>
      <c r="I25" s="82" t="s">
        <v>22</v>
      </c>
      <c r="J25" s="41" t="s">
        <v>72</v>
      </c>
      <c r="K25" s="82" t="s">
        <v>22</v>
      </c>
      <c r="L25" s="82" t="s">
        <v>22</v>
      </c>
      <c r="M25" s="82" t="s">
        <v>22</v>
      </c>
      <c r="N25" s="82" t="s">
        <v>22</v>
      </c>
      <c r="O25" s="82" t="s">
        <v>22</v>
      </c>
      <c r="P25" s="82" t="s">
        <v>22</v>
      </c>
      <c r="Q25" s="82" t="s">
        <v>22</v>
      </c>
      <c r="R25" s="82" t="s">
        <v>22</v>
      </c>
      <c r="S25" s="82" t="s">
        <v>22</v>
      </c>
      <c r="T25" s="82" t="s">
        <v>22</v>
      </c>
      <c r="U25" s="82" t="s">
        <v>22</v>
      </c>
      <c r="V25" s="82" t="s">
        <v>22</v>
      </c>
      <c r="W25" s="82" t="s">
        <v>22</v>
      </c>
      <c r="X25" s="82" t="s">
        <v>22</v>
      </c>
      <c r="Y25" s="82" t="s">
        <v>22</v>
      </c>
      <c r="Z25" s="82" t="s">
        <v>22</v>
      </c>
      <c r="AA25" s="82" t="s">
        <v>22</v>
      </c>
      <c r="AB25" s="82" t="s">
        <v>22</v>
      </c>
      <c r="AC25" s="82" t="s">
        <v>22</v>
      </c>
      <c r="AD25" s="49"/>
    </row>
    <row r="26" spans="2:30" ht="16.5" customHeight="1" x14ac:dyDescent="0.35">
      <c r="B26" s="47"/>
      <c r="C26" s="82">
        <v>16</v>
      </c>
      <c r="D26" s="82" t="s">
        <v>40</v>
      </c>
      <c r="E26" s="41" t="s">
        <v>23</v>
      </c>
      <c r="F26" s="83" t="s">
        <v>19</v>
      </c>
      <c r="G26" s="82" t="s">
        <v>81</v>
      </c>
      <c r="H26" s="82" t="s">
        <v>22</v>
      </c>
      <c r="I26" s="82" t="s">
        <v>22</v>
      </c>
      <c r="J26" s="41" t="s">
        <v>72</v>
      </c>
      <c r="K26" s="82" t="s">
        <v>22</v>
      </c>
      <c r="L26" s="82" t="s">
        <v>22</v>
      </c>
      <c r="M26" s="82" t="s">
        <v>22</v>
      </c>
      <c r="N26" s="82" t="s">
        <v>22</v>
      </c>
      <c r="O26" s="82" t="s">
        <v>22</v>
      </c>
      <c r="P26" s="82" t="s">
        <v>22</v>
      </c>
      <c r="Q26" s="82" t="s">
        <v>22</v>
      </c>
      <c r="R26" s="82" t="s">
        <v>22</v>
      </c>
      <c r="S26" s="82" t="s">
        <v>22</v>
      </c>
      <c r="T26" s="82" t="s">
        <v>22</v>
      </c>
      <c r="U26" s="82" t="s">
        <v>22</v>
      </c>
      <c r="V26" s="82" t="s">
        <v>22</v>
      </c>
      <c r="W26" s="82" t="s">
        <v>22</v>
      </c>
      <c r="X26" s="82" t="s">
        <v>22</v>
      </c>
      <c r="Y26" s="82" t="s">
        <v>22</v>
      </c>
      <c r="Z26" s="82" t="s">
        <v>22</v>
      </c>
      <c r="AA26" s="82" t="s">
        <v>22</v>
      </c>
      <c r="AB26" s="82" t="s">
        <v>22</v>
      </c>
      <c r="AC26" s="82" t="s">
        <v>22</v>
      </c>
      <c r="AD26" s="49"/>
    </row>
    <row r="27" spans="2:30" ht="15" customHeight="1" x14ac:dyDescent="0.35">
      <c r="B27" s="47"/>
      <c r="C27" s="82">
        <v>17</v>
      </c>
      <c r="D27" s="82" t="s">
        <v>41</v>
      </c>
      <c r="E27" s="41" t="s">
        <v>23</v>
      </c>
      <c r="F27" s="83" t="s">
        <v>52</v>
      </c>
      <c r="G27" s="82" t="s">
        <v>82</v>
      </c>
      <c r="H27" s="82" t="s">
        <v>22</v>
      </c>
      <c r="I27" s="82" t="s">
        <v>22</v>
      </c>
      <c r="J27" s="41" t="s">
        <v>72</v>
      </c>
      <c r="K27" s="82" t="s">
        <v>22</v>
      </c>
      <c r="L27" s="82" t="s">
        <v>22</v>
      </c>
      <c r="M27" s="82" t="s">
        <v>22</v>
      </c>
      <c r="N27" s="82" t="s">
        <v>22</v>
      </c>
      <c r="O27" s="82" t="s">
        <v>22</v>
      </c>
      <c r="P27" s="82" t="s">
        <v>22</v>
      </c>
      <c r="Q27" s="82" t="s">
        <v>22</v>
      </c>
      <c r="R27" s="82" t="s">
        <v>22</v>
      </c>
      <c r="S27" s="82" t="s">
        <v>22</v>
      </c>
      <c r="T27" s="82" t="s">
        <v>22</v>
      </c>
      <c r="U27" s="82" t="s">
        <v>22</v>
      </c>
      <c r="V27" s="82" t="s">
        <v>22</v>
      </c>
      <c r="W27" s="82" t="s">
        <v>22</v>
      </c>
      <c r="X27" s="82" t="s">
        <v>22</v>
      </c>
      <c r="Y27" s="82" t="s">
        <v>22</v>
      </c>
      <c r="Z27" s="82" t="s">
        <v>22</v>
      </c>
      <c r="AA27" s="82" t="s">
        <v>22</v>
      </c>
      <c r="AB27" s="82" t="s">
        <v>22</v>
      </c>
      <c r="AC27" s="82" t="s">
        <v>22</v>
      </c>
      <c r="AD27" s="49"/>
    </row>
    <row r="28" spans="2:30" ht="15" customHeight="1" x14ac:dyDescent="0.35">
      <c r="B28" s="47"/>
      <c r="C28" s="82">
        <v>18</v>
      </c>
      <c r="D28" s="82" t="s">
        <v>57</v>
      </c>
      <c r="E28" s="41" t="s">
        <v>23</v>
      </c>
      <c r="F28" s="83" t="s">
        <v>53</v>
      </c>
      <c r="G28" s="82" t="s">
        <v>83</v>
      </c>
      <c r="H28" s="82" t="s">
        <v>22</v>
      </c>
      <c r="I28" s="82" t="s">
        <v>22</v>
      </c>
      <c r="J28" s="41" t="s">
        <v>72</v>
      </c>
      <c r="K28" s="82" t="s">
        <v>22</v>
      </c>
      <c r="L28" s="82" t="s">
        <v>22</v>
      </c>
      <c r="M28" s="82" t="s">
        <v>22</v>
      </c>
      <c r="N28" s="82" t="s">
        <v>22</v>
      </c>
      <c r="O28" s="82" t="s">
        <v>22</v>
      </c>
      <c r="P28" s="82" t="s">
        <v>22</v>
      </c>
      <c r="Q28" s="82" t="s">
        <v>22</v>
      </c>
      <c r="R28" s="82" t="s">
        <v>22</v>
      </c>
      <c r="S28" s="82" t="s">
        <v>22</v>
      </c>
      <c r="T28" s="82" t="s">
        <v>22</v>
      </c>
      <c r="U28" s="82" t="s">
        <v>22</v>
      </c>
      <c r="V28" s="82" t="s">
        <v>22</v>
      </c>
      <c r="W28" s="82" t="s">
        <v>22</v>
      </c>
      <c r="X28" s="82" t="s">
        <v>22</v>
      </c>
      <c r="Y28" s="82" t="s">
        <v>22</v>
      </c>
      <c r="Z28" s="82" t="s">
        <v>22</v>
      </c>
      <c r="AA28" s="82" t="s">
        <v>22</v>
      </c>
      <c r="AB28" s="82" t="s">
        <v>22</v>
      </c>
      <c r="AC28" s="82" t="s">
        <v>22</v>
      </c>
      <c r="AD28" s="49"/>
    </row>
    <row r="29" spans="2:30" ht="29" x14ac:dyDescent="0.35">
      <c r="B29" s="47"/>
      <c r="C29" s="20">
        <v>19</v>
      </c>
      <c r="D29" s="20" t="s">
        <v>58</v>
      </c>
      <c r="E29" s="21" t="s">
        <v>24</v>
      </c>
      <c r="F29" s="22" t="s">
        <v>128</v>
      </c>
      <c r="G29" s="20" t="s">
        <v>84</v>
      </c>
      <c r="H29" s="21" t="s">
        <v>137</v>
      </c>
      <c r="I29" s="21" t="s">
        <v>146</v>
      </c>
      <c r="J29" s="68" t="s">
        <v>149</v>
      </c>
      <c r="K29" s="20">
        <v>240</v>
      </c>
      <c r="L29" s="20">
        <v>240</v>
      </c>
      <c r="M29" s="67">
        <v>0.05</v>
      </c>
      <c r="N29" s="24">
        <f>$N$6*M29</f>
        <v>1002.1125000000001</v>
      </c>
      <c r="O29" s="24">
        <f t="shared" ref="O29:O37" si="16">$O$6*M29</f>
        <v>334.03750000000002</v>
      </c>
      <c r="P29" s="24">
        <f t="shared" ref="P29:P37" si="17">N29*K29</f>
        <v>240507.00000000003</v>
      </c>
      <c r="Q29" s="24">
        <f t="shared" ref="Q29:Q37" si="18">O29*K29</f>
        <v>80169</v>
      </c>
      <c r="R29" s="24">
        <f t="shared" ref="R29:R37" si="19">P29+Q29</f>
        <v>320676</v>
      </c>
      <c r="S29" s="24">
        <f t="shared" ref="S29:T37" si="20">R29/60</f>
        <v>5344.6</v>
      </c>
      <c r="T29" s="24">
        <f t="shared" si="20"/>
        <v>89.076666666666668</v>
      </c>
      <c r="U29" s="24">
        <f t="shared" ref="U29:U37" si="21">T29/7.5</f>
        <v>11.876888888888889</v>
      </c>
      <c r="V29" s="24">
        <f t="shared" ref="V29:V37" si="22">U29/18</f>
        <v>0.65982716049382717</v>
      </c>
      <c r="W29" s="24">
        <f t="shared" ref="W29:W37" si="23">N29*L29</f>
        <v>240507.00000000003</v>
      </c>
      <c r="X29" s="24">
        <f t="shared" ref="X29:X37" si="24">O29*L29</f>
        <v>80169</v>
      </c>
      <c r="Y29" s="24">
        <f t="shared" ref="Y29:Y37" si="25">W29+X29</f>
        <v>320676</v>
      </c>
      <c r="Z29" s="24">
        <f t="shared" ref="Z29:AA37" si="26">Y29/60</f>
        <v>5344.6</v>
      </c>
      <c r="AA29" s="24">
        <f t="shared" si="26"/>
        <v>89.076666666666668</v>
      </c>
      <c r="AB29" s="24">
        <f t="shared" ref="AB29:AB37" si="27">AA29/7.5</f>
        <v>11.876888888888889</v>
      </c>
      <c r="AC29" s="24">
        <f t="shared" ref="AC29:AC37" si="28">AB29/18</f>
        <v>0.65982716049382717</v>
      </c>
      <c r="AD29" s="49"/>
    </row>
    <row r="30" spans="2:30" ht="36" customHeight="1" x14ac:dyDescent="0.35">
      <c r="B30" s="47"/>
      <c r="C30" s="26">
        <v>20</v>
      </c>
      <c r="D30" s="26" t="s">
        <v>59</v>
      </c>
      <c r="E30" s="27" t="s">
        <v>24</v>
      </c>
      <c r="F30" s="28" t="s">
        <v>10</v>
      </c>
      <c r="G30" s="27" t="s">
        <v>77</v>
      </c>
      <c r="H30" s="26" t="s">
        <v>138</v>
      </c>
      <c r="I30" s="26" t="s">
        <v>142</v>
      </c>
      <c r="J30" s="27" t="s">
        <v>73</v>
      </c>
      <c r="K30" s="27">
        <v>35</v>
      </c>
      <c r="L30" s="27">
        <v>20</v>
      </c>
      <c r="M30" s="29">
        <v>1</v>
      </c>
      <c r="N30" s="30">
        <f>$N$6*M30</f>
        <v>20042.25</v>
      </c>
      <c r="O30" s="30">
        <f t="shared" si="16"/>
        <v>6680.75</v>
      </c>
      <c r="P30" s="30">
        <f t="shared" si="17"/>
        <v>701478.75</v>
      </c>
      <c r="Q30" s="30">
        <f t="shared" si="18"/>
        <v>233826.25</v>
      </c>
      <c r="R30" s="30">
        <f t="shared" si="19"/>
        <v>935305</v>
      </c>
      <c r="S30" s="30">
        <f t="shared" si="20"/>
        <v>15588.416666666666</v>
      </c>
      <c r="T30" s="30">
        <f t="shared" si="20"/>
        <v>259.80694444444441</v>
      </c>
      <c r="U30" s="30">
        <f t="shared" si="21"/>
        <v>34.64092592592592</v>
      </c>
      <c r="V30" s="30">
        <f t="shared" si="22"/>
        <v>1.9244958847736622</v>
      </c>
      <c r="W30" s="30">
        <f t="shared" si="23"/>
        <v>400845</v>
      </c>
      <c r="X30" s="30">
        <f t="shared" si="24"/>
        <v>133615</v>
      </c>
      <c r="Y30" s="30">
        <f t="shared" si="25"/>
        <v>534460</v>
      </c>
      <c r="Z30" s="30">
        <f t="shared" si="26"/>
        <v>8907.6666666666661</v>
      </c>
      <c r="AA30" s="30">
        <f t="shared" si="26"/>
        <v>148.46111111111111</v>
      </c>
      <c r="AB30" s="30">
        <f t="shared" si="27"/>
        <v>19.794814814814814</v>
      </c>
      <c r="AC30" s="30">
        <f t="shared" si="28"/>
        <v>1.0997119341563786</v>
      </c>
      <c r="AD30" s="49"/>
    </row>
    <row r="31" spans="2:30" ht="29.25" customHeight="1" x14ac:dyDescent="0.35">
      <c r="B31" s="47"/>
      <c r="C31" s="26">
        <v>21</v>
      </c>
      <c r="D31" s="26" t="s">
        <v>60</v>
      </c>
      <c r="E31" s="27" t="s">
        <v>24</v>
      </c>
      <c r="F31" s="28" t="s">
        <v>55</v>
      </c>
      <c r="G31" s="27" t="s">
        <v>86</v>
      </c>
      <c r="H31" s="26" t="s">
        <v>138</v>
      </c>
      <c r="I31" s="27" t="s">
        <v>143</v>
      </c>
      <c r="J31" s="27" t="s">
        <v>73</v>
      </c>
      <c r="K31" s="26">
        <v>180</v>
      </c>
      <c r="L31" s="26">
        <v>120</v>
      </c>
      <c r="M31" s="31">
        <v>0.05</v>
      </c>
      <c r="N31" s="30">
        <f>$N$6*M31</f>
        <v>1002.1125000000001</v>
      </c>
      <c r="O31" s="30">
        <f t="shared" si="16"/>
        <v>334.03750000000002</v>
      </c>
      <c r="P31" s="30">
        <f t="shared" si="17"/>
        <v>180380.25</v>
      </c>
      <c r="Q31" s="30">
        <f t="shared" si="18"/>
        <v>60126.750000000007</v>
      </c>
      <c r="R31" s="30">
        <f t="shared" si="19"/>
        <v>240507</v>
      </c>
      <c r="S31" s="30">
        <f t="shared" si="20"/>
        <v>4008.45</v>
      </c>
      <c r="T31" s="30">
        <f t="shared" si="20"/>
        <v>66.80749999999999</v>
      </c>
      <c r="U31" s="30">
        <f t="shared" si="21"/>
        <v>8.9076666666666657</v>
      </c>
      <c r="V31" s="30">
        <f t="shared" si="22"/>
        <v>0.49487037037037029</v>
      </c>
      <c r="W31" s="30">
        <f t="shared" si="23"/>
        <v>120253.50000000001</v>
      </c>
      <c r="X31" s="30">
        <f t="shared" si="24"/>
        <v>40084.5</v>
      </c>
      <c r="Y31" s="30">
        <f t="shared" si="25"/>
        <v>160338</v>
      </c>
      <c r="Z31" s="30">
        <f t="shared" si="26"/>
        <v>2672.3</v>
      </c>
      <c r="AA31" s="30">
        <f t="shared" si="26"/>
        <v>44.538333333333334</v>
      </c>
      <c r="AB31" s="30">
        <f t="shared" si="27"/>
        <v>5.9384444444444444</v>
      </c>
      <c r="AC31" s="30">
        <f t="shared" si="28"/>
        <v>0.32991358024691358</v>
      </c>
      <c r="AD31" s="49"/>
    </row>
    <row r="32" spans="2:30" x14ac:dyDescent="0.35">
      <c r="B32" s="47"/>
      <c r="C32" s="32">
        <v>22</v>
      </c>
      <c r="D32" s="32" t="s">
        <v>54</v>
      </c>
      <c r="E32" s="33" t="s">
        <v>24</v>
      </c>
      <c r="F32" s="34" t="s">
        <v>11</v>
      </c>
      <c r="G32" s="33" t="s">
        <v>77</v>
      </c>
      <c r="H32" s="32" t="s">
        <v>139</v>
      </c>
      <c r="I32" s="33" t="s">
        <v>142</v>
      </c>
      <c r="J32" s="33" t="s">
        <v>73</v>
      </c>
      <c r="K32" s="33">
        <v>10</v>
      </c>
      <c r="L32" s="33">
        <v>0</v>
      </c>
      <c r="M32" s="81">
        <v>1</v>
      </c>
      <c r="N32" s="36">
        <f>$N$6*M32</f>
        <v>20042.25</v>
      </c>
      <c r="O32" s="36">
        <f t="shared" si="16"/>
        <v>6680.75</v>
      </c>
      <c r="P32" s="36">
        <f t="shared" si="17"/>
        <v>200422.5</v>
      </c>
      <c r="Q32" s="36">
        <f t="shared" si="18"/>
        <v>66807.5</v>
      </c>
      <c r="R32" s="36">
        <f t="shared" si="19"/>
        <v>267230</v>
      </c>
      <c r="S32" s="36">
        <f t="shared" si="20"/>
        <v>4453.833333333333</v>
      </c>
      <c r="T32" s="36">
        <f t="shared" si="20"/>
        <v>74.230555555555554</v>
      </c>
      <c r="U32" s="36">
        <f t="shared" si="21"/>
        <v>9.8974074074074068</v>
      </c>
      <c r="V32" s="36">
        <f t="shared" si="22"/>
        <v>0.54985596707818929</v>
      </c>
      <c r="W32" s="36">
        <f t="shared" si="23"/>
        <v>0</v>
      </c>
      <c r="X32" s="36">
        <f t="shared" si="24"/>
        <v>0</v>
      </c>
      <c r="Y32" s="36">
        <f t="shared" si="25"/>
        <v>0</v>
      </c>
      <c r="Z32" s="36">
        <f t="shared" si="26"/>
        <v>0</v>
      </c>
      <c r="AA32" s="36">
        <f t="shared" si="26"/>
        <v>0</v>
      </c>
      <c r="AB32" s="36">
        <f t="shared" si="27"/>
        <v>0</v>
      </c>
      <c r="AC32" s="36">
        <f t="shared" si="28"/>
        <v>0</v>
      </c>
      <c r="AD32" s="49"/>
    </row>
    <row r="33" spans="2:30" ht="29" x14ac:dyDescent="0.35">
      <c r="B33" s="47"/>
      <c r="C33" s="26">
        <v>23</v>
      </c>
      <c r="D33" s="26" t="s">
        <v>61</v>
      </c>
      <c r="E33" s="27" t="s">
        <v>24</v>
      </c>
      <c r="F33" s="28" t="s">
        <v>129</v>
      </c>
      <c r="G33" s="27" t="s">
        <v>77</v>
      </c>
      <c r="H33" s="26" t="s">
        <v>138</v>
      </c>
      <c r="I33" s="26" t="s">
        <v>145</v>
      </c>
      <c r="J33" s="27" t="s">
        <v>73</v>
      </c>
      <c r="K33" s="27">
        <v>160</v>
      </c>
      <c r="L33" s="27">
        <v>100</v>
      </c>
      <c r="M33" s="29">
        <v>1</v>
      </c>
      <c r="N33" s="30">
        <f>$N$6*M33</f>
        <v>20042.25</v>
      </c>
      <c r="O33" s="30">
        <f t="shared" si="16"/>
        <v>6680.75</v>
      </c>
      <c r="P33" s="30">
        <f t="shared" si="17"/>
        <v>3206760</v>
      </c>
      <c r="Q33" s="30">
        <f t="shared" si="18"/>
        <v>1068920</v>
      </c>
      <c r="R33" s="30">
        <f t="shared" si="19"/>
        <v>4275680</v>
      </c>
      <c r="S33" s="30">
        <f t="shared" si="20"/>
        <v>71261.333333333328</v>
      </c>
      <c r="T33" s="30">
        <f t="shared" si="20"/>
        <v>1187.6888888888889</v>
      </c>
      <c r="U33" s="30">
        <f t="shared" si="21"/>
        <v>158.35851851851851</v>
      </c>
      <c r="V33" s="30">
        <f t="shared" si="22"/>
        <v>8.7976954732510286</v>
      </c>
      <c r="W33" s="30">
        <f t="shared" si="23"/>
        <v>2004225</v>
      </c>
      <c r="X33" s="30">
        <f t="shared" si="24"/>
        <v>668075</v>
      </c>
      <c r="Y33" s="30">
        <f t="shared" si="25"/>
        <v>2672300</v>
      </c>
      <c r="Z33" s="30">
        <f t="shared" si="26"/>
        <v>44538.333333333336</v>
      </c>
      <c r="AA33" s="30">
        <f t="shared" si="26"/>
        <v>742.30555555555554</v>
      </c>
      <c r="AB33" s="30">
        <f t="shared" si="27"/>
        <v>98.974074074074068</v>
      </c>
      <c r="AC33" s="30">
        <f t="shared" si="28"/>
        <v>5.4985596707818925</v>
      </c>
      <c r="AD33" s="49"/>
    </row>
    <row r="34" spans="2:30" ht="30" customHeight="1" x14ac:dyDescent="0.35">
      <c r="B34" s="47"/>
      <c r="C34" s="26">
        <v>24</v>
      </c>
      <c r="D34" s="26" t="s">
        <v>62</v>
      </c>
      <c r="E34" s="27" t="s">
        <v>24</v>
      </c>
      <c r="F34" s="28" t="s">
        <v>12</v>
      </c>
      <c r="G34" s="27" t="s">
        <v>77</v>
      </c>
      <c r="H34" s="26" t="s">
        <v>138</v>
      </c>
      <c r="I34" s="26" t="s">
        <v>145</v>
      </c>
      <c r="J34" s="27" t="s">
        <v>73</v>
      </c>
      <c r="K34" s="37">
        <v>203</v>
      </c>
      <c r="L34" s="37">
        <v>150</v>
      </c>
      <c r="M34" s="38">
        <v>0.25</v>
      </c>
      <c r="N34" s="30"/>
      <c r="O34" s="30">
        <f t="shared" si="16"/>
        <v>1670.1875</v>
      </c>
      <c r="P34" s="30">
        <f t="shared" si="17"/>
        <v>0</v>
      </c>
      <c r="Q34" s="30">
        <f t="shared" si="18"/>
        <v>339048.0625</v>
      </c>
      <c r="R34" s="30">
        <f t="shared" si="19"/>
        <v>339048.0625</v>
      </c>
      <c r="S34" s="30">
        <f t="shared" si="20"/>
        <v>5650.8010416666666</v>
      </c>
      <c r="T34" s="30">
        <f t="shared" si="20"/>
        <v>94.180017361111112</v>
      </c>
      <c r="U34" s="30">
        <f t="shared" si="21"/>
        <v>12.557335648148149</v>
      </c>
      <c r="V34" s="30">
        <f t="shared" si="22"/>
        <v>0.6976297582304527</v>
      </c>
      <c r="W34" s="30">
        <f t="shared" si="23"/>
        <v>0</v>
      </c>
      <c r="X34" s="30">
        <f t="shared" si="24"/>
        <v>250528.125</v>
      </c>
      <c r="Y34" s="30">
        <f t="shared" si="25"/>
        <v>250528.125</v>
      </c>
      <c r="Z34" s="30">
        <f t="shared" si="26"/>
        <v>4175.46875</v>
      </c>
      <c r="AA34" s="30">
        <f t="shared" si="26"/>
        <v>69.591145833333329</v>
      </c>
      <c r="AB34" s="30">
        <f t="shared" si="27"/>
        <v>9.2788194444444443</v>
      </c>
      <c r="AC34" s="30">
        <f t="shared" si="28"/>
        <v>0.51548996913580247</v>
      </c>
      <c r="AD34" s="49"/>
    </row>
    <row r="35" spans="2:30" x14ac:dyDescent="0.35">
      <c r="B35" s="47"/>
      <c r="C35" s="20">
        <v>25</v>
      </c>
      <c r="D35" s="20" t="s">
        <v>64</v>
      </c>
      <c r="E35" s="21" t="s">
        <v>24</v>
      </c>
      <c r="F35" s="22" t="s">
        <v>13</v>
      </c>
      <c r="G35" s="21" t="s">
        <v>43</v>
      </c>
      <c r="H35" s="21" t="s">
        <v>137</v>
      </c>
      <c r="I35" s="21" t="s">
        <v>146</v>
      </c>
      <c r="J35" s="21" t="s">
        <v>71</v>
      </c>
      <c r="K35" s="21">
        <v>25</v>
      </c>
      <c r="L35" s="21">
        <v>25</v>
      </c>
      <c r="M35" s="23">
        <v>1</v>
      </c>
      <c r="N35" s="24">
        <f>$N$6*M35</f>
        <v>20042.25</v>
      </c>
      <c r="O35" s="24">
        <f t="shared" si="16"/>
        <v>6680.75</v>
      </c>
      <c r="P35" s="24">
        <f t="shared" si="17"/>
        <v>501056.25</v>
      </c>
      <c r="Q35" s="24">
        <f t="shared" si="18"/>
        <v>167018.75</v>
      </c>
      <c r="R35" s="24">
        <f t="shared" si="19"/>
        <v>668075</v>
      </c>
      <c r="S35" s="24">
        <f t="shared" si="20"/>
        <v>11134.583333333334</v>
      </c>
      <c r="T35" s="24">
        <f t="shared" si="20"/>
        <v>185.57638888888889</v>
      </c>
      <c r="U35" s="24">
        <f t="shared" si="21"/>
        <v>24.743518518518517</v>
      </c>
      <c r="V35" s="24">
        <f t="shared" si="22"/>
        <v>1.3746399176954731</v>
      </c>
      <c r="W35" s="24">
        <f t="shared" si="23"/>
        <v>501056.25</v>
      </c>
      <c r="X35" s="24">
        <f t="shared" si="24"/>
        <v>167018.75</v>
      </c>
      <c r="Y35" s="24">
        <f t="shared" si="25"/>
        <v>668075</v>
      </c>
      <c r="Z35" s="24">
        <f t="shared" si="26"/>
        <v>11134.583333333334</v>
      </c>
      <c r="AA35" s="24">
        <f t="shared" si="26"/>
        <v>185.57638888888889</v>
      </c>
      <c r="AB35" s="24">
        <f t="shared" si="27"/>
        <v>24.743518518518517</v>
      </c>
      <c r="AC35" s="25">
        <f t="shared" si="28"/>
        <v>1.3746399176954731</v>
      </c>
      <c r="AD35" s="49"/>
    </row>
    <row r="36" spans="2:30" x14ac:dyDescent="0.35">
      <c r="B36" s="47"/>
      <c r="C36" s="32">
        <v>26</v>
      </c>
      <c r="D36" s="32" t="s">
        <v>63</v>
      </c>
      <c r="E36" s="33" t="s">
        <v>24</v>
      </c>
      <c r="F36" s="34" t="s">
        <v>14</v>
      </c>
      <c r="G36" s="33" t="s">
        <v>56</v>
      </c>
      <c r="H36" s="32" t="s">
        <v>139</v>
      </c>
      <c r="I36" s="33" t="s">
        <v>142</v>
      </c>
      <c r="J36" s="33" t="s">
        <v>73</v>
      </c>
      <c r="K36" s="33">
        <v>20</v>
      </c>
      <c r="L36" s="33">
        <v>0</v>
      </c>
      <c r="M36" s="81">
        <v>1</v>
      </c>
      <c r="N36" s="36">
        <f>$N$6*M36</f>
        <v>20042.25</v>
      </c>
      <c r="O36" s="36">
        <f t="shared" si="16"/>
        <v>6680.75</v>
      </c>
      <c r="P36" s="36">
        <f t="shared" si="17"/>
        <v>400845</v>
      </c>
      <c r="Q36" s="36">
        <f t="shared" si="18"/>
        <v>133615</v>
      </c>
      <c r="R36" s="36">
        <f t="shared" si="19"/>
        <v>534460</v>
      </c>
      <c r="S36" s="36">
        <f t="shared" si="20"/>
        <v>8907.6666666666661</v>
      </c>
      <c r="T36" s="36">
        <f t="shared" si="20"/>
        <v>148.46111111111111</v>
      </c>
      <c r="U36" s="36">
        <f t="shared" si="21"/>
        <v>19.794814814814814</v>
      </c>
      <c r="V36" s="36">
        <f t="shared" si="22"/>
        <v>1.0997119341563786</v>
      </c>
      <c r="W36" s="36">
        <f t="shared" si="23"/>
        <v>0</v>
      </c>
      <c r="X36" s="36">
        <f t="shared" si="24"/>
        <v>0</v>
      </c>
      <c r="Y36" s="36">
        <f t="shared" si="25"/>
        <v>0</v>
      </c>
      <c r="Z36" s="36">
        <f t="shared" si="26"/>
        <v>0</v>
      </c>
      <c r="AA36" s="36">
        <f t="shared" si="26"/>
        <v>0</v>
      </c>
      <c r="AB36" s="36">
        <f t="shared" si="27"/>
        <v>0</v>
      </c>
      <c r="AC36" s="36">
        <f t="shared" si="28"/>
        <v>0</v>
      </c>
      <c r="AD36" s="49"/>
    </row>
    <row r="37" spans="2:30" x14ac:dyDescent="0.35">
      <c r="B37" s="47"/>
      <c r="C37" s="26">
        <v>27</v>
      </c>
      <c r="D37" s="26" t="s">
        <v>66</v>
      </c>
      <c r="E37" s="27" t="s">
        <v>24</v>
      </c>
      <c r="F37" s="28" t="s">
        <v>16</v>
      </c>
      <c r="G37" s="26" t="s">
        <v>87</v>
      </c>
      <c r="H37" s="26" t="s">
        <v>138</v>
      </c>
      <c r="I37" s="26" t="s">
        <v>142</v>
      </c>
      <c r="J37" s="27" t="s">
        <v>73</v>
      </c>
      <c r="K37" s="26">
        <v>480</v>
      </c>
      <c r="L37" s="26">
        <v>200</v>
      </c>
      <c r="M37" s="31">
        <v>0.02</v>
      </c>
      <c r="N37" s="30">
        <f>$N$6*M37</f>
        <v>400.84500000000003</v>
      </c>
      <c r="O37" s="30">
        <f t="shared" si="16"/>
        <v>133.61500000000001</v>
      </c>
      <c r="P37" s="30">
        <f t="shared" si="17"/>
        <v>192405.6</v>
      </c>
      <c r="Q37" s="30">
        <f t="shared" si="18"/>
        <v>64135.200000000004</v>
      </c>
      <c r="R37" s="30">
        <f t="shared" si="19"/>
        <v>256540.80000000002</v>
      </c>
      <c r="S37" s="30">
        <f t="shared" si="20"/>
        <v>4275.68</v>
      </c>
      <c r="T37" s="30">
        <f t="shared" si="20"/>
        <v>71.26133333333334</v>
      </c>
      <c r="U37" s="30">
        <f t="shared" si="21"/>
        <v>9.5015111111111121</v>
      </c>
      <c r="V37" s="30">
        <f t="shared" si="22"/>
        <v>0.52786172839506174</v>
      </c>
      <c r="W37" s="30">
        <f t="shared" si="23"/>
        <v>80169</v>
      </c>
      <c r="X37" s="30">
        <f t="shared" si="24"/>
        <v>26723</v>
      </c>
      <c r="Y37" s="30">
        <f t="shared" si="25"/>
        <v>106892</v>
      </c>
      <c r="Z37" s="30">
        <f t="shared" si="26"/>
        <v>1781.5333333333333</v>
      </c>
      <c r="AA37" s="30">
        <f t="shared" si="26"/>
        <v>29.69222222222222</v>
      </c>
      <c r="AB37" s="30">
        <f t="shared" si="27"/>
        <v>3.9589629629629628</v>
      </c>
      <c r="AC37" s="30">
        <f t="shared" si="28"/>
        <v>0.2199423868312757</v>
      </c>
      <c r="AD37" s="49"/>
    </row>
    <row r="38" spans="2:30" x14ac:dyDescent="0.35">
      <c r="B38" s="47"/>
      <c r="C38" s="82">
        <v>28</v>
      </c>
      <c r="D38" s="82" t="s">
        <v>49</v>
      </c>
      <c r="E38" s="41" t="s">
        <v>65</v>
      </c>
      <c r="F38" s="83" t="s">
        <v>17</v>
      </c>
      <c r="G38" s="82" t="s">
        <v>85</v>
      </c>
      <c r="H38" s="82" t="s">
        <v>22</v>
      </c>
      <c r="I38" s="82" t="s">
        <v>22</v>
      </c>
      <c r="J38" s="41" t="s">
        <v>73</v>
      </c>
      <c r="K38" s="82" t="s">
        <v>22</v>
      </c>
      <c r="L38" s="82" t="s">
        <v>22</v>
      </c>
      <c r="M38" s="82" t="s">
        <v>22</v>
      </c>
      <c r="N38" s="82" t="s">
        <v>22</v>
      </c>
      <c r="O38" s="82" t="s">
        <v>22</v>
      </c>
      <c r="P38" s="82" t="s">
        <v>22</v>
      </c>
      <c r="Q38" s="82" t="s">
        <v>22</v>
      </c>
      <c r="R38" s="82" t="s">
        <v>22</v>
      </c>
      <c r="S38" s="82" t="s">
        <v>22</v>
      </c>
      <c r="T38" s="82" t="s">
        <v>22</v>
      </c>
      <c r="U38" s="82" t="s">
        <v>22</v>
      </c>
      <c r="V38" s="82" t="s">
        <v>22</v>
      </c>
      <c r="W38" s="82" t="s">
        <v>22</v>
      </c>
      <c r="X38" s="82" t="s">
        <v>22</v>
      </c>
      <c r="Y38" s="82" t="s">
        <v>22</v>
      </c>
      <c r="Z38" s="82" t="s">
        <v>22</v>
      </c>
      <c r="AA38" s="82" t="s">
        <v>22</v>
      </c>
      <c r="AB38" s="82" t="s">
        <v>22</v>
      </c>
      <c r="AC38" s="82" t="s">
        <v>22</v>
      </c>
      <c r="AD38" s="49"/>
    </row>
    <row r="39" spans="2:30" ht="13.5" customHeight="1" x14ac:dyDescent="0.35">
      <c r="B39" s="47"/>
      <c r="C39" s="20">
        <v>29</v>
      </c>
      <c r="D39" s="20" t="s">
        <v>50</v>
      </c>
      <c r="E39" s="21" t="s">
        <v>24</v>
      </c>
      <c r="F39" s="22" t="s">
        <v>15</v>
      </c>
      <c r="G39" s="21" t="s">
        <v>43</v>
      </c>
      <c r="H39" s="21" t="s">
        <v>137</v>
      </c>
      <c r="I39" s="21" t="s">
        <v>146</v>
      </c>
      <c r="J39" s="21" t="s">
        <v>71</v>
      </c>
      <c r="K39" s="21">
        <v>15</v>
      </c>
      <c r="L39" s="21">
        <v>15</v>
      </c>
      <c r="M39" s="23">
        <v>1</v>
      </c>
      <c r="N39" s="24">
        <f>$N$6*M39</f>
        <v>20042.25</v>
      </c>
      <c r="O39" s="24">
        <f>$O$6*M39</f>
        <v>6680.75</v>
      </c>
      <c r="P39" s="24">
        <f>N39*K39</f>
        <v>300633.75</v>
      </c>
      <c r="Q39" s="24">
        <f>O39*K39</f>
        <v>100211.25</v>
      </c>
      <c r="R39" s="24">
        <f>P39+Q39</f>
        <v>400845</v>
      </c>
      <c r="S39" s="24">
        <f>R39/60</f>
        <v>6680.75</v>
      </c>
      <c r="T39" s="24">
        <f>S39/60</f>
        <v>111.34583333333333</v>
      </c>
      <c r="U39" s="24">
        <f>T39/7.5</f>
        <v>14.84611111111111</v>
      </c>
      <c r="V39" s="24">
        <f>U39/18</f>
        <v>0.82478395061728393</v>
      </c>
      <c r="W39" s="24">
        <f>N39*L39</f>
        <v>300633.75</v>
      </c>
      <c r="X39" s="24">
        <f>O39*L39</f>
        <v>100211.25</v>
      </c>
      <c r="Y39" s="24">
        <f>W39+X39</f>
        <v>400845</v>
      </c>
      <c r="Z39" s="24">
        <f>Y39/60</f>
        <v>6680.75</v>
      </c>
      <c r="AA39" s="24">
        <f>Z39/60</f>
        <v>111.34583333333333</v>
      </c>
      <c r="AB39" s="24">
        <f>AA39/7.5</f>
        <v>14.84611111111111</v>
      </c>
      <c r="AC39" s="24">
        <f>AB39/18</f>
        <v>0.82478395061728393</v>
      </c>
      <c r="AD39" s="49"/>
    </row>
    <row r="40" spans="2:30" ht="29" x14ac:dyDescent="0.35">
      <c r="B40" s="47"/>
      <c r="C40" s="20">
        <v>30</v>
      </c>
      <c r="D40" s="20" t="s">
        <v>51</v>
      </c>
      <c r="E40" s="21" t="s">
        <v>67</v>
      </c>
      <c r="F40" s="22" t="s">
        <v>20</v>
      </c>
      <c r="G40" s="21" t="s">
        <v>43</v>
      </c>
      <c r="H40" s="21" t="s">
        <v>137</v>
      </c>
      <c r="I40" s="21" t="s">
        <v>22</v>
      </c>
      <c r="J40" s="21" t="s">
        <v>71</v>
      </c>
      <c r="K40" s="21" t="s">
        <v>22</v>
      </c>
      <c r="L40" s="21" t="s">
        <v>22</v>
      </c>
      <c r="M40" s="21" t="s">
        <v>22</v>
      </c>
      <c r="N40" s="21" t="s">
        <v>22</v>
      </c>
      <c r="O40" s="21" t="s">
        <v>22</v>
      </c>
      <c r="P40" s="21" t="s">
        <v>22</v>
      </c>
      <c r="Q40" s="21" t="s">
        <v>22</v>
      </c>
      <c r="R40" s="21" t="s">
        <v>22</v>
      </c>
      <c r="S40" s="21" t="s">
        <v>22</v>
      </c>
      <c r="T40" s="21" t="s">
        <v>22</v>
      </c>
      <c r="U40" s="21" t="s">
        <v>22</v>
      </c>
      <c r="V40" s="21" t="s">
        <v>22</v>
      </c>
      <c r="W40" s="21" t="s">
        <v>22</v>
      </c>
      <c r="X40" s="21" t="s">
        <v>22</v>
      </c>
      <c r="Y40" s="21" t="s">
        <v>22</v>
      </c>
      <c r="Z40" s="21" t="s">
        <v>22</v>
      </c>
      <c r="AA40" s="21" t="s">
        <v>22</v>
      </c>
      <c r="AB40" s="21" t="s">
        <v>22</v>
      </c>
      <c r="AC40" s="21" t="s">
        <v>22</v>
      </c>
      <c r="AD40" s="49"/>
    </row>
    <row r="41" spans="2:30" x14ac:dyDescent="0.35">
      <c r="B41" s="47"/>
      <c r="V41" s="61">
        <f>SUBTOTAL(9,V12:V40)</f>
        <v>35.107616177983537</v>
      </c>
      <c r="W41" s="51"/>
      <c r="X41" s="51"/>
      <c r="Y41" s="51"/>
      <c r="Z41" s="51"/>
      <c r="AA41" s="51"/>
      <c r="AB41" s="51"/>
      <c r="AC41" s="62">
        <f>SUBTOTAL(9,AC12:AC40)</f>
        <v>17.088148816872426</v>
      </c>
      <c r="AD41" s="49"/>
    </row>
    <row r="42" spans="2:30" x14ac:dyDescent="0.35">
      <c r="B42" s="47"/>
      <c r="V42" s="52"/>
      <c r="W42" s="51"/>
      <c r="X42" s="51"/>
      <c r="Y42" s="51"/>
      <c r="Z42" s="51"/>
      <c r="AA42" s="51"/>
      <c r="AB42" s="51"/>
      <c r="AC42" s="52"/>
      <c r="AD42" s="49"/>
    </row>
    <row r="43" spans="2:30" ht="15" thickBot="1" x14ac:dyDescent="0.4">
      <c r="B43" s="53"/>
      <c r="C43" s="54"/>
      <c r="D43" s="54"/>
      <c r="E43" s="55"/>
      <c r="F43" s="56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7"/>
      <c r="W43" s="58"/>
      <c r="X43" s="58"/>
      <c r="Y43" s="58"/>
      <c r="Z43" s="58"/>
      <c r="AA43" s="58"/>
      <c r="AB43" s="58"/>
      <c r="AC43" s="57"/>
      <c r="AD43" s="59"/>
    </row>
    <row r="47" spans="2:30" x14ac:dyDescent="0.35">
      <c r="E47" s="11"/>
      <c r="F47" s="17" t="s">
        <v>137</v>
      </c>
    </row>
    <row r="48" spans="2:30" x14ac:dyDescent="0.35">
      <c r="E48" s="13"/>
      <c r="F48" s="12" t="s">
        <v>150</v>
      </c>
    </row>
    <row r="49" spans="5:6" x14ac:dyDescent="0.35">
      <c r="E49" s="84"/>
      <c r="F49" s="85" t="s">
        <v>139</v>
      </c>
    </row>
    <row r="50" spans="5:6" x14ac:dyDescent="0.35">
      <c r="E50" s="41"/>
      <c r="F50" s="12" t="s">
        <v>22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C47A-A9A6-433F-91AB-C22CDA579BD8}">
  <dimension ref="A1:G44"/>
  <sheetViews>
    <sheetView workbookViewId="0">
      <selection activeCell="D44" sqref="D44"/>
    </sheetView>
  </sheetViews>
  <sheetFormatPr defaultColWidth="9.1796875" defaultRowHeight="12" x14ac:dyDescent="0.3"/>
  <cols>
    <col min="1" max="1" width="16.81640625" style="87" bestFit="1" customWidth="1"/>
    <col min="2" max="2" width="10.453125" style="87" bestFit="1" customWidth="1"/>
    <col min="3" max="3" width="51" style="87" bestFit="1" customWidth="1"/>
    <col min="4" max="6" width="15.7265625" style="87" customWidth="1"/>
    <col min="7" max="7" width="18.1796875" style="87" customWidth="1"/>
    <col min="8" max="16384" width="9.1796875" style="87"/>
  </cols>
  <sheetData>
    <row r="1" spans="1:7" x14ac:dyDescent="0.3">
      <c r="A1" s="86"/>
      <c r="B1" s="86"/>
      <c r="C1" s="86"/>
      <c r="D1" s="149" t="s">
        <v>151</v>
      </c>
      <c r="E1" s="150"/>
      <c r="F1" s="150"/>
      <c r="G1" s="150"/>
    </row>
    <row r="2" spans="1:7" x14ac:dyDescent="0.3">
      <c r="A2" s="88" t="s">
        <v>152</v>
      </c>
      <c r="B2" s="88" t="s">
        <v>153</v>
      </c>
      <c r="C2" s="88" t="s">
        <v>154</v>
      </c>
      <c r="D2" s="88" t="s">
        <v>155</v>
      </c>
      <c r="E2" s="88" t="s">
        <v>156</v>
      </c>
      <c r="F2" s="88" t="s">
        <v>157</v>
      </c>
      <c r="G2" s="88" t="s">
        <v>158</v>
      </c>
    </row>
    <row r="3" spans="1:7" x14ac:dyDescent="0.3">
      <c r="A3" s="89" t="s">
        <v>159</v>
      </c>
      <c r="B3" s="89" t="s">
        <v>160</v>
      </c>
      <c r="C3" s="89" t="s">
        <v>161</v>
      </c>
      <c r="D3" s="90">
        <v>716</v>
      </c>
      <c r="E3" s="90">
        <v>37</v>
      </c>
      <c r="F3" s="91">
        <v>753</v>
      </c>
      <c r="G3" s="92">
        <f>D3/$D$44</f>
        <v>3.0812927658475708E-2</v>
      </c>
    </row>
    <row r="4" spans="1:7" x14ac:dyDescent="0.3">
      <c r="A4" s="89" t="s">
        <v>162</v>
      </c>
      <c r="B4" s="89" t="s">
        <v>160</v>
      </c>
      <c r="C4" s="89" t="s">
        <v>163</v>
      </c>
      <c r="D4" s="90">
        <v>112</v>
      </c>
      <c r="E4" s="90">
        <v>9</v>
      </c>
      <c r="F4" s="91">
        <v>121</v>
      </c>
      <c r="G4" s="92">
        <f t="shared" ref="G4:G43" si="0">D4/$D$44</f>
        <v>4.8198992985325128E-3</v>
      </c>
    </row>
    <row r="5" spans="1:7" x14ac:dyDescent="0.3">
      <c r="A5" s="89" t="s">
        <v>164</v>
      </c>
      <c r="B5" s="89" t="s">
        <v>160</v>
      </c>
      <c r="C5" s="89" t="s">
        <v>165</v>
      </c>
      <c r="D5" s="90">
        <v>3180</v>
      </c>
      <c r="E5" s="90">
        <v>358</v>
      </c>
      <c r="F5" s="91">
        <v>3538</v>
      </c>
      <c r="G5" s="92">
        <f t="shared" si="0"/>
        <v>0.136850712226191</v>
      </c>
    </row>
    <row r="6" spans="1:7" x14ac:dyDescent="0.3">
      <c r="A6" s="89" t="s">
        <v>166</v>
      </c>
      <c r="B6" s="89" t="s">
        <v>160</v>
      </c>
      <c r="C6" s="89" t="s">
        <v>167</v>
      </c>
      <c r="D6" s="90">
        <v>528</v>
      </c>
      <c r="E6" s="90">
        <v>47</v>
      </c>
      <c r="F6" s="91">
        <v>575</v>
      </c>
      <c r="G6" s="92">
        <f t="shared" si="0"/>
        <v>2.2722382407367559E-2</v>
      </c>
    </row>
    <row r="7" spans="1:7" x14ac:dyDescent="0.3">
      <c r="A7" s="89" t="s">
        <v>168</v>
      </c>
      <c r="B7" s="89" t="s">
        <v>169</v>
      </c>
      <c r="C7" s="89" t="s">
        <v>170</v>
      </c>
      <c r="D7" s="90">
        <v>48</v>
      </c>
      <c r="E7" s="90">
        <v>0</v>
      </c>
      <c r="F7" s="91">
        <v>48</v>
      </c>
      <c r="G7" s="92">
        <f t="shared" si="0"/>
        <v>2.0656711279425054E-3</v>
      </c>
    </row>
    <row r="8" spans="1:7" x14ac:dyDescent="0.3">
      <c r="A8" s="89" t="s">
        <v>171</v>
      </c>
      <c r="B8" s="89" t="s">
        <v>169</v>
      </c>
      <c r="C8" s="89" t="s">
        <v>172</v>
      </c>
      <c r="D8" s="90">
        <v>209</v>
      </c>
      <c r="E8" s="90">
        <v>23</v>
      </c>
      <c r="F8" s="91">
        <v>232</v>
      </c>
      <c r="G8" s="92">
        <f t="shared" si="0"/>
        <v>8.9942763695829934E-3</v>
      </c>
    </row>
    <row r="9" spans="1:7" x14ac:dyDescent="0.3">
      <c r="A9" s="89" t="s">
        <v>173</v>
      </c>
      <c r="B9" s="89" t="s">
        <v>169</v>
      </c>
      <c r="C9" s="89" t="s">
        <v>174</v>
      </c>
      <c r="D9" s="90">
        <v>275</v>
      </c>
      <c r="E9" s="90">
        <v>19</v>
      </c>
      <c r="F9" s="91">
        <v>294</v>
      </c>
      <c r="G9" s="92">
        <f t="shared" si="0"/>
        <v>1.1834574170503938E-2</v>
      </c>
    </row>
    <row r="10" spans="1:7" x14ac:dyDescent="0.3">
      <c r="A10" s="89" t="s">
        <v>175</v>
      </c>
      <c r="B10" s="89" t="s">
        <v>169</v>
      </c>
      <c r="C10" s="89" t="s">
        <v>176</v>
      </c>
      <c r="D10" s="90">
        <v>412</v>
      </c>
      <c r="E10" s="90">
        <v>95</v>
      </c>
      <c r="F10" s="91">
        <v>507</v>
      </c>
      <c r="G10" s="92">
        <f t="shared" si="0"/>
        <v>1.7730343848173173E-2</v>
      </c>
    </row>
    <row r="11" spans="1:7" x14ac:dyDescent="0.3">
      <c r="A11" s="89" t="s">
        <v>177</v>
      </c>
      <c r="B11" s="89" t="s">
        <v>169</v>
      </c>
      <c r="C11" s="89" t="s">
        <v>178</v>
      </c>
      <c r="D11" s="90">
        <v>592</v>
      </c>
      <c r="E11" s="90">
        <v>16</v>
      </c>
      <c r="F11" s="91">
        <v>608</v>
      </c>
      <c r="G11" s="92">
        <f t="shared" si="0"/>
        <v>2.5476610577957567E-2</v>
      </c>
    </row>
    <row r="12" spans="1:7" x14ac:dyDescent="0.3">
      <c r="A12" s="89" t="s">
        <v>179</v>
      </c>
      <c r="B12" s="89" t="s">
        <v>180</v>
      </c>
      <c r="C12" s="89" t="s">
        <v>181</v>
      </c>
      <c r="D12" s="90">
        <v>211</v>
      </c>
      <c r="E12" s="90">
        <v>8</v>
      </c>
      <c r="F12" s="91">
        <v>219</v>
      </c>
      <c r="G12" s="92">
        <f t="shared" si="0"/>
        <v>9.0803459999139295E-3</v>
      </c>
    </row>
    <row r="13" spans="1:7" x14ac:dyDescent="0.3">
      <c r="A13" s="89" t="s">
        <v>182</v>
      </c>
      <c r="B13" s="89" t="s">
        <v>180</v>
      </c>
      <c r="C13" s="89" t="s">
        <v>183</v>
      </c>
      <c r="D13" s="90">
        <v>1007</v>
      </c>
      <c r="E13" s="90">
        <v>27</v>
      </c>
      <c r="F13" s="91">
        <v>1034</v>
      </c>
      <c r="G13" s="92">
        <f t="shared" si="0"/>
        <v>4.3336058871627149E-2</v>
      </c>
    </row>
    <row r="14" spans="1:7" x14ac:dyDescent="0.3">
      <c r="A14" s="89" t="s">
        <v>184</v>
      </c>
      <c r="B14" s="89" t="s">
        <v>180</v>
      </c>
      <c r="C14" s="89" t="s">
        <v>185</v>
      </c>
      <c r="D14" s="90">
        <v>655</v>
      </c>
      <c r="E14" s="90">
        <v>23</v>
      </c>
      <c r="F14" s="91">
        <v>678</v>
      </c>
      <c r="G14" s="92">
        <f t="shared" si="0"/>
        <v>2.8187803933382105E-2</v>
      </c>
    </row>
    <row r="15" spans="1:7" x14ac:dyDescent="0.3">
      <c r="A15" s="89" t="s">
        <v>186</v>
      </c>
      <c r="B15" s="89" t="s">
        <v>180</v>
      </c>
      <c r="C15" s="89" t="s">
        <v>187</v>
      </c>
      <c r="D15" s="90">
        <v>2352</v>
      </c>
      <c r="E15" s="90">
        <v>35</v>
      </c>
      <c r="F15" s="91">
        <v>2387</v>
      </c>
      <c r="G15" s="92">
        <f t="shared" si="0"/>
        <v>0.10121788526918277</v>
      </c>
    </row>
    <row r="16" spans="1:7" x14ac:dyDescent="0.3">
      <c r="A16" s="89" t="s">
        <v>188</v>
      </c>
      <c r="B16" s="89" t="s">
        <v>180</v>
      </c>
      <c r="C16" s="89" t="s">
        <v>189</v>
      </c>
      <c r="D16" s="90">
        <v>2316</v>
      </c>
      <c r="E16" s="90">
        <v>30</v>
      </c>
      <c r="F16" s="91">
        <v>2346</v>
      </c>
      <c r="G16" s="92">
        <f t="shared" si="0"/>
        <v>9.9668631923225892E-2</v>
      </c>
    </row>
    <row r="17" spans="1:7" x14ac:dyDescent="0.3">
      <c r="A17" s="89" t="s">
        <v>190</v>
      </c>
      <c r="B17" s="89" t="s">
        <v>180</v>
      </c>
      <c r="C17" s="89" t="s">
        <v>191</v>
      </c>
      <c r="D17" s="90">
        <v>997</v>
      </c>
      <c r="E17" s="90">
        <v>32</v>
      </c>
      <c r="F17" s="91">
        <v>1029</v>
      </c>
      <c r="G17" s="92">
        <f t="shared" si="0"/>
        <v>4.2905710719972456E-2</v>
      </c>
    </row>
    <row r="18" spans="1:7" x14ac:dyDescent="0.3">
      <c r="A18" s="89" t="s">
        <v>192</v>
      </c>
      <c r="B18" s="89" t="s">
        <v>180</v>
      </c>
      <c r="C18" s="89" t="s">
        <v>193</v>
      </c>
      <c r="D18" s="90">
        <v>658</v>
      </c>
      <c r="E18" s="90">
        <v>43</v>
      </c>
      <c r="F18" s="91">
        <v>701</v>
      </c>
      <c r="G18" s="92">
        <f t="shared" si="0"/>
        <v>2.8316908378878514E-2</v>
      </c>
    </row>
    <row r="19" spans="1:7" x14ac:dyDescent="0.3">
      <c r="A19" s="89" t="s">
        <v>194</v>
      </c>
      <c r="B19" s="89" t="s">
        <v>180</v>
      </c>
      <c r="C19" s="89" t="s">
        <v>195</v>
      </c>
      <c r="D19" s="90">
        <v>45</v>
      </c>
      <c r="E19" s="90">
        <v>12</v>
      </c>
      <c r="F19" s="91">
        <v>57</v>
      </c>
      <c r="G19" s="92">
        <f t="shared" si="0"/>
        <v>1.9365666824460988E-3</v>
      </c>
    </row>
    <row r="20" spans="1:7" x14ac:dyDescent="0.3">
      <c r="A20" s="89" t="s">
        <v>196</v>
      </c>
      <c r="B20" s="89" t="s">
        <v>180</v>
      </c>
      <c r="C20" s="89" t="s">
        <v>197</v>
      </c>
      <c r="D20" s="90">
        <v>456</v>
      </c>
      <c r="E20" s="90">
        <v>11</v>
      </c>
      <c r="F20" s="91">
        <v>467</v>
      </c>
      <c r="G20" s="92">
        <f t="shared" si="0"/>
        <v>1.9623875715453803E-2</v>
      </c>
    </row>
    <row r="21" spans="1:7" x14ac:dyDescent="0.3">
      <c r="A21" s="89" t="s">
        <v>198</v>
      </c>
      <c r="B21" s="89" t="s">
        <v>180</v>
      </c>
      <c r="C21" s="89" t="s">
        <v>199</v>
      </c>
      <c r="D21" s="90">
        <v>167</v>
      </c>
      <c r="E21" s="90">
        <v>15</v>
      </c>
      <c r="F21" s="91">
        <v>182</v>
      </c>
      <c r="G21" s="92">
        <f t="shared" si="0"/>
        <v>7.1868141326333007E-3</v>
      </c>
    </row>
    <row r="22" spans="1:7" x14ac:dyDescent="0.3">
      <c r="A22" s="89" t="s">
        <v>200</v>
      </c>
      <c r="B22" s="89" t="s">
        <v>180</v>
      </c>
      <c r="C22" s="89" t="s">
        <v>201</v>
      </c>
      <c r="D22" s="90">
        <v>71</v>
      </c>
      <c r="E22" s="90">
        <v>3</v>
      </c>
      <c r="F22" s="91">
        <v>74</v>
      </c>
      <c r="G22" s="92">
        <f t="shared" si="0"/>
        <v>3.0554718767482896E-3</v>
      </c>
    </row>
    <row r="23" spans="1:7" x14ac:dyDescent="0.3">
      <c r="A23" s="89" t="s">
        <v>202</v>
      </c>
      <c r="B23" s="89" t="s">
        <v>180</v>
      </c>
      <c r="C23" s="89" t="s">
        <v>203</v>
      </c>
      <c r="D23" s="90">
        <v>779</v>
      </c>
      <c r="E23" s="90">
        <v>24</v>
      </c>
      <c r="F23" s="91">
        <v>803</v>
      </c>
      <c r="G23" s="92">
        <f t="shared" si="0"/>
        <v>3.3524121013900246E-2</v>
      </c>
    </row>
    <row r="24" spans="1:7" x14ac:dyDescent="0.3">
      <c r="A24" s="89" t="s">
        <v>204</v>
      </c>
      <c r="B24" s="89" t="s">
        <v>205</v>
      </c>
      <c r="C24" s="89" t="s">
        <v>206</v>
      </c>
      <c r="D24" s="90">
        <v>415</v>
      </c>
      <c r="E24" s="90">
        <v>39</v>
      </c>
      <c r="F24" s="91">
        <v>454</v>
      </c>
      <c r="G24" s="92">
        <f t="shared" si="0"/>
        <v>1.7859448293669578E-2</v>
      </c>
    </row>
    <row r="25" spans="1:7" x14ac:dyDescent="0.3">
      <c r="A25" s="89" t="s">
        <v>207</v>
      </c>
      <c r="B25" s="89" t="s">
        <v>205</v>
      </c>
      <c r="C25" s="89" t="s">
        <v>208</v>
      </c>
      <c r="D25" s="90">
        <v>31</v>
      </c>
      <c r="E25" s="90">
        <v>0</v>
      </c>
      <c r="F25" s="91">
        <v>31</v>
      </c>
      <c r="G25" s="92">
        <f t="shared" si="0"/>
        <v>1.3340792701295348E-3</v>
      </c>
    </row>
    <row r="26" spans="1:7" x14ac:dyDescent="0.3">
      <c r="A26" s="89" t="s">
        <v>209</v>
      </c>
      <c r="B26" s="89" t="s">
        <v>205</v>
      </c>
      <c r="C26" s="89" t="s">
        <v>210</v>
      </c>
      <c r="D26" s="90">
        <v>6</v>
      </c>
      <c r="E26" s="90">
        <v>0</v>
      </c>
      <c r="F26" s="91">
        <v>6</v>
      </c>
      <c r="G26" s="92">
        <f t="shared" si="0"/>
        <v>2.5820889099281317E-4</v>
      </c>
    </row>
    <row r="27" spans="1:7" x14ac:dyDescent="0.3">
      <c r="A27" s="89" t="s">
        <v>211</v>
      </c>
      <c r="B27" s="89" t="s">
        <v>212</v>
      </c>
      <c r="C27" s="89" t="s">
        <v>213</v>
      </c>
      <c r="D27" s="90">
        <v>141</v>
      </c>
      <c r="E27" s="90">
        <v>12</v>
      </c>
      <c r="F27" s="91">
        <v>153</v>
      </c>
      <c r="G27" s="92">
        <f t="shared" si="0"/>
        <v>6.0679089383311102E-3</v>
      </c>
    </row>
    <row r="28" spans="1:7" x14ac:dyDescent="0.3">
      <c r="A28" s="89" t="s">
        <v>214</v>
      </c>
      <c r="B28" s="89" t="s">
        <v>212</v>
      </c>
      <c r="C28" s="89" t="s">
        <v>215</v>
      </c>
      <c r="D28" s="90">
        <v>453</v>
      </c>
      <c r="E28" s="90">
        <v>17</v>
      </c>
      <c r="F28" s="91">
        <v>470</v>
      </c>
      <c r="G28" s="92">
        <f t="shared" si="0"/>
        <v>1.9494771269957394E-2</v>
      </c>
    </row>
    <row r="29" spans="1:7" x14ac:dyDescent="0.3">
      <c r="A29" s="89" t="s">
        <v>216</v>
      </c>
      <c r="B29" s="89" t="s">
        <v>217</v>
      </c>
      <c r="C29" s="89" t="s">
        <v>218</v>
      </c>
      <c r="D29" s="90">
        <v>353</v>
      </c>
      <c r="E29" s="90">
        <v>68</v>
      </c>
      <c r="F29" s="91">
        <v>421</v>
      </c>
      <c r="G29" s="92">
        <f t="shared" si="0"/>
        <v>1.519128975341051E-2</v>
      </c>
    </row>
    <row r="30" spans="1:7" x14ac:dyDescent="0.3">
      <c r="A30" s="89" t="s">
        <v>219</v>
      </c>
      <c r="B30" s="89" t="s">
        <v>217</v>
      </c>
      <c r="C30" s="89" t="s">
        <v>220</v>
      </c>
      <c r="D30" s="90">
        <v>1432</v>
      </c>
      <c r="E30" s="90">
        <v>9</v>
      </c>
      <c r="F30" s="91">
        <v>1441</v>
      </c>
      <c r="G30" s="92">
        <f t="shared" si="0"/>
        <v>6.1625855316951417E-2</v>
      </c>
    </row>
    <row r="31" spans="1:7" x14ac:dyDescent="0.3">
      <c r="A31" s="89" t="s">
        <v>221</v>
      </c>
      <c r="B31" s="89" t="s">
        <v>212</v>
      </c>
      <c r="C31" s="89" t="s">
        <v>222</v>
      </c>
      <c r="D31" s="90">
        <v>2421</v>
      </c>
      <c r="E31" s="90">
        <v>102</v>
      </c>
      <c r="F31" s="91">
        <v>2523</v>
      </c>
      <c r="G31" s="92">
        <f t="shared" si="0"/>
        <v>0.10418728751560012</v>
      </c>
    </row>
    <row r="32" spans="1:7" x14ac:dyDescent="0.3">
      <c r="A32" s="89" t="s">
        <v>223</v>
      </c>
      <c r="B32" s="89" t="s">
        <v>217</v>
      </c>
      <c r="C32" s="89" t="s">
        <v>224</v>
      </c>
      <c r="D32" s="90">
        <v>0</v>
      </c>
      <c r="E32" s="90">
        <v>0</v>
      </c>
      <c r="F32" s="91">
        <v>0</v>
      </c>
      <c r="G32" s="92">
        <f t="shared" si="0"/>
        <v>0</v>
      </c>
    </row>
    <row r="33" spans="1:7" x14ac:dyDescent="0.3">
      <c r="A33" s="89" t="s">
        <v>225</v>
      </c>
      <c r="B33" s="89" t="s">
        <v>169</v>
      </c>
      <c r="C33" s="89" t="s">
        <v>226</v>
      </c>
      <c r="D33" s="90">
        <v>286</v>
      </c>
      <c r="E33" s="90">
        <v>31</v>
      </c>
      <c r="F33" s="91">
        <v>317</v>
      </c>
      <c r="G33" s="92">
        <f t="shared" si="0"/>
        <v>1.2307957137324094E-2</v>
      </c>
    </row>
    <row r="34" spans="1:7" x14ac:dyDescent="0.3">
      <c r="A34" s="89" t="s">
        <v>227</v>
      </c>
      <c r="B34" s="89" t="s">
        <v>217</v>
      </c>
      <c r="C34" s="89" t="s">
        <v>228</v>
      </c>
      <c r="D34" s="90">
        <v>6</v>
      </c>
      <c r="E34" s="90">
        <v>3</v>
      </c>
      <c r="F34" s="91">
        <v>9</v>
      </c>
      <c r="G34" s="92">
        <f t="shared" si="0"/>
        <v>2.5820889099281317E-4</v>
      </c>
    </row>
    <row r="35" spans="1:7" x14ac:dyDescent="0.3">
      <c r="A35" s="89" t="s">
        <v>229</v>
      </c>
      <c r="B35" s="89" t="s">
        <v>160</v>
      </c>
      <c r="C35" s="89" t="s">
        <v>230</v>
      </c>
      <c r="D35" s="90">
        <v>129</v>
      </c>
      <c r="E35" s="90">
        <v>102</v>
      </c>
      <c r="F35" s="91">
        <v>231</v>
      </c>
      <c r="G35" s="92">
        <f t="shared" si="0"/>
        <v>5.5514911563454838E-3</v>
      </c>
    </row>
    <row r="36" spans="1:7" x14ac:dyDescent="0.3">
      <c r="A36" s="89" t="s">
        <v>231</v>
      </c>
      <c r="B36" s="89" t="s">
        <v>205</v>
      </c>
      <c r="C36" s="89" t="s">
        <v>232</v>
      </c>
      <c r="D36" s="90">
        <v>20</v>
      </c>
      <c r="E36" s="90">
        <v>10</v>
      </c>
      <c r="F36" s="91">
        <v>30</v>
      </c>
      <c r="G36" s="92">
        <f t="shared" si="0"/>
        <v>8.6069630330937728E-4</v>
      </c>
    </row>
    <row r="37" spans="1:7" x14ac:dyDescent="0.3">
      <c r="A37" s="89" t="s">
        <v>233</v>
      </c>
      <c r="B37" s="89" t="s">
        <v>160</v>
      </c>
      <c r="C37" s="89" t="s">
        <v>234</v>
      </c>
      <c r="D37" s="90">
        <v>1170</v>
      </c>
      <c r="E37" s="90">
        <v>26</v>
      </c>
      <c r="F37" s="91">
        <v>1196</v>
      </c>
      <c r="G37" s="92">
        <f t="shared" si="0"/>
        <v>5.0350733743598573E-2</v>
      </c>
    </row>
    <row r="38" spans="1:7" x14ac:dyDescent="0.3">
      <c r="A38" s="89" t="s">
        <v>235</v>
      </c>
      <c r="B38" s="89" t="s">
        <v>160</v>
      </c>
      <c r="C38" s="89" t="s">
        <v>236</v>
      </c>
      <c r="D38" s="90">
        <v>438</v>
      </c>
      <c r="E38" s="90">
        <v>21</v>
      </c>
      <c r="F38" s="91">
        <v>459</v>
      </c>
      <c r="G38" s="92">
        <f t="shared" si="0"/>
        <v>1.8849249042475362E-2</v>
      </c>
    </row>
    <row r="39" spans="1:7" x14ac:dyDescent="0.3">
      <c r="A39" s="89" t="s">
        <v>237</v>
      </c>
      <c r="B39" s="89" t="s">
        <v>205</v>
      </c>
      <c r="C39" s="89" t="s">
        <v>238</v>
      </c>
      <c r="D39" s="90">
        <v>69</v>
      </c>
      <c r="E39" s="90">
        <v>9</v>
      </c>
      <c r="F39" s="91">
        <v>78</v>
      </c>
      <c r="G39" s="92">
        <f t="shared" si="0"/>
        <v>2.9694022464173517E-3</v>
      </c>
    </row>
    <row r="40" spans="1:7" x14ac:dyDescent="0.3">
      <c r="A40" s="89" t="s">
        <v>239</v>
      </c>
      <c r="B40" s="89" t="s">
        <v>180</v>
      </c>
      <c r="C40" s="89" t="s">
        <v>240</v>
      </c>
      <c r="D40" s="90">
        <v>26</v>
      </c>
      <c r="E40" s="90">
        <v>22</v>
      </c>
      <c r="F40" s="91">
        <v>48</v>
      </c>
      <c r="G40" s="92">
        <f t="shared" si="0"/>
        <v>1.1189051943021906E-3</v>
      </c>
    </row>
    <row r="41" spans="1:7" x14ac:dyDescent="0.3">
      <c r="A41" s="89" t="s">
        <v>223</v>
      </c>
      <c r="B41" s="89" t="s">
        <v>217</v>
      </c>
      <c r="C41" s="89" t="s">
        <v>241</v>
      </c>
      <c r="D41" s="90">
        <v>0</v>
      </c>
      <c r="E41" s="90">
        <v>3</v>
      </c>
      <c r="F41" s="91">
        <v>3</v>
      </c>
      <c r="G41" s="92">
        <f t="shared" si="0"/>
        <v>0</v>
      </c>
    </row>
    <row r="42" spans="1:7" x14ac:dyDescent="0.3">
      <c r="A42" s="89" t="s">
        <v>242</v>
      </c>
      <c r="B42" s="89" t="s">
        <v>217</v>
      </c>
      <c r="C42" s="89" t="s">
        <v>243</v>
      </c>
      <c r="D42" s="90">
        <v>45</v>
      </c>
      <c r="E42" s="90">
        <v>6</v>
      </c>
      <c r="F42" s="91">
        <v>51</v>
      </c>
      <c r="G42" s="92">
        <f t="shared" si="0"/>
        <v>1.9365666824460988E-3</v>
      </c>
    </row>
    <row r="43" spans="1:7" x14ac:dyDescent="0.3">
      <c r="A43" s="89" t="s">
        <v>244</v>
      </c>
      <c r="B43" s="89" t="s">
        <v>217</v>
      </c>
      <c r="C43" s="89" t="s">
        <v>245</v>
      </c>
      <c r="D43" s="90">
        <v>10</v>
      </c>
      <c r="E43" s="90">
        <v>8</v>
      </c>
      <c r="F43" s="91">
        <v>18</v>
      </c>
      <c r="G43" s="92">
        <f t="shared" si="0"/>
        <v>4.3034815165468864E-4</v>
      </c>
    </row>
    <row r="44" spans="1:7" x14ac:dyDescent="0.3">
      <c r="A44" s="151" t="s">
        <v>246</v>
      </c>
      <c r="B44" s="151"/>
      <c r="C44" s="151"/>
      <c r="D44" s="93">
        <f>SUM(D3:D43)</f>
        <v>23237</v>
      </c>
      <c r="E44" s="94"/>
      <c r="F44" s="94"/>
      <c r="G44" s="95">
        <f>SUM(G3:G43)</f>
        <v>1.0000000000000002</v>
      </c>
    </row>
  </sheetData>
  <mergeCells count="2">
    <mergeCell ref="D1:G1"/>
    <mergeCell ref="A44:C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0BDC-D276-4BC7-8F82-E51F6A4B5DCE}">
  <dimension ref="C1:J9"/>
  <sheetViews>
    <sheetView workbookViewId="0">
      <selection activeCell="K6" sqref="K6"/>
    </sheetView>
  </sheetViews>
  <sheetFormatPr defaultColWidth="8.81640625" defaultRowHeight="14.5" x14ac:dyDescent="0.35"/>
  <cols>
    <col min="3" max="3" width="14.453125" style="3" customWidth="1"/>
    <col min="4" max="4" width="15.7265625" style="1" customWidth="1"/>
    <col min="5" max="5" width="15.7265625" style="3" customWidth="1"/>
    <col min="6" max="6" width="18.453125" style="3" customWidth="1"/>
    <col min="7" max="7" width="16.453125" style="3" customWidth="1"/>
    <col min="9" max="10" width="10.7265625" style="3" customWidth="1"/>
  </cols>
  <sheetData>
    <row r="1" spans="3:7" ht="29" x14ac:dyDescent="0.35">
      <c r="C1" s="4"/>
      <c r="D1" s="18" t="s">
        <v>96</v>
      </c>
      <c r="E1" s="18" t="s">
        <v>97</v>
      </c>
      <c r="F1" s="5" t="s">
        <v>99</v>
      </c>
    </row>
    <row r="2" spans="3:7" x14ac:dyDescent="0.35">
      <c r="C2" s="4" t="s">
        <v>98</v>
      </c>
      <c r="D2" s="10">
        <f>('AP COS Activities '!N6)*0.3</f>
        <v>6012.6750000000002</v>
      </c>
      <c r="E2" s="19">
        <f>('AP COS Activities '!O6)*0.3</f>
        <v>2004.2249999999999</v>
      </c>
      <c r="F2" s="19">
        <f>SUM(D2:E2)</f>
        <v>8016.9</v>
      </c>
    </row>
    <row r="3" spans="3:7" ht="29" x14ac:dyDescent="0.35">
      <c r="C3" s="15" t="s">
        <v>103</v>
      </c>
      <c r="D3" s="14" t="s">
        <v>100</v>
      </c>
      <c r="E3" s="14" t="s">
        <v>2</v>
      </c>
      <c r="F3" s="15" t="s">
        <v>101</v>
      </c>
      <c r="G3" s="15" t="s">
        <v>102</v>
      </c>
    </row>
    <row r="4" spans="3:7" x14ac:dyDescent="0.35">
      <c r="C4" s="14" t="s">
        <v>90</v>
      </c>
      <c r="D4" s="9">
        <v>145</v>
      </c>
      <c r="E4" s="7">
        <v>0.08</v>
      </c>
      <c r="F4" s="8">
        <f>$F$2*E4</f>
        <v>641.35199999999998</v>
      </c>
      <c r="G4" s="8">
        <f>F4*D4</f>
        <v>92996.04</v>
      </c>
    </row>
    <row r="5" spans="3:7" x14ac:dyDescent="0.35">
      <c r="C5" s="14" t="s">
        <v>91</v>
      </c>
      <c r="D5" s="9">
        <v>960</v>
      </c>
      <c r="E5" s="7">
        <v>0.18</v>
      </c>
      <c r="F5" s="8">
        <f>$F$2*E5</f>
        <v>1443.0419999999999</v>
      </c>
      <c r="G5" s="8">
        <f>F5*D5</f>
        <v>1385320.3199999998</v>
      </c>
    </row>
    <row r="6" spans="3:7" x14ac:dyDescent="0.35">
      <c r="C6" s="14" t="s">
        <v>92</v>
      </c>
      <c r="D6" s="9">
        <v>180</v>
      </c>
      <c r="E6" s="7">
        <v>0.05</v>
      </c>
      <c r="F6" s="8">
        <f>$F$2*E6</f>
        <v>400.84500000000003</v>
      </c>
      <c r="G6" s="8">
        <f>F6*D6</f>
        <v>72152.100000000006</v>
      </c>
    </row>
    <row r="7" spans="3:7" x14ac:dyDescent="0.35">
      <c r="C7" s="14" t="s">
        <v>93</v>
      </c>
      <c r="D7" s="9">
        <v>500</v>
      </c>
      <c r="E7" s="7">
        <v>0.02</v>
      </c>
      <c r="F7" s="8">
        <f>$F$2*E7</f>
        <v>160.33799999999999</v>
      </c>
      <c r="G7" s="8">
        <f>F7*D7</f>
        <v>80169</v>
      </c>
    </row>
    <row r="8" spans="3:7" x14ac:dyDescent="0.35">
      <c r="G8" s="8">
        <f>SUM(G4:G7)</f>
        <v>1630637.46</v>
      </c>
    </row>
    <row r="9" spans="3:7" ht="31.5" customHeight="1" x14ac:dyDescent="0.35">
      <c r="F9" s="5" t="s">
        <v>104</v>
      </c>
      <c r="G9" s="4">
        <f>G8/F2</f>
        <v>203.4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27C6D0607F4418D56BE9351A60714" ma:contentTypeVersion="4" ma:contentTypeDescription="Create a new document." ma:contentTypeScope="" ma:versionID="0c8b12942aae5cdcfbcab7292298e83b">
  <xsd:schema xmlns:xsd="http://www.w3.org/2001/XMLSchema" xmlns:xs="http://www.w3.org/2001/XMLSchema" xmlns:p="http://schemas.microsoft.com/office/2006/metadata/properties" xmlns:ns2="eb15036e-70b8-46c1-89d8-d124fc9940dd" targetNamespace="http://schemas.microsoft.com/office/2006/metadata/properties" ma:root="true" ma:fieldsID="85d4a9e2faab6ae1506cde86f95c754b" ns2:_="">
    <xsd:import namespace="eb15036e-70b8-46c1-89d8-d124fc9940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5036e-70b8-46c1-89d8-d124fc994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FCA1FE-F2B9-4493-91CD-547407054E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FF6E1-764B-45DC-AA4B-9B90E0D4E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15036e-70b8-46c1-89d8-d124fc9940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512E6-C4C0-4D8F-9E9E-44CB720278D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eb15036e-70b8-46c1-89d8-d124fc9940dd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d29d5a0-e4b2-4274-b79c-f85cb0068166}" enabled="1" method="Privileged" siteId="{2bd16c9b-7e21-4274-9c06-7919f7647bb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- Example</vt:lpstr>
      <vt:lpstr> THC</vt:lpstr>
      <vt:lpstr>BIS</vt:lpstr>
      <vt:lpstr>Summary - Zodiac</vt:lpstr>
      <vt:lpstr>Total T + B</vt:lpstr>
      <vt:lpstr>AP COS Activities </vt:lpstr>
      <vt:lpstr>Dec 25 Volume</vt:lpstr>
      <vt:lpstr>Exception AHT Calculation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Sonali Consultant</dc:creator>
  <cp:keywords/>
  <dc:description/>
  <cp:lastModifiedBy>Amol Kulkarni</cp:lastModifiedBy>
  <cp:revision/>
  <dcterms:created xsi:type="dcterms:W3CDTF">2025-03-03T07:00:01Z</dcterms:created>
  <dcterms:modified xsi:type="dcterms:W3CDTF">2026-03-24T13:02:41Z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0x01010075327C6D0607F4418D56BE9351A60714</vt:lpwstr>
  </property>
</Properties>
</file>